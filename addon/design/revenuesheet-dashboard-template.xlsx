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hor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Subscriptions" sheetId="4" state="visible" r:id="rId4"/>
    <sheet xmlns:r="http://schemas.openxmlformats.org/officeDocument/2006/relationships" name="Customers" sheetId="5" state="visible" r:id="rId5"/>
    <sheet xmlns:r="http://schemas.openxmlformats.org/officeDocument/2006/relationships" name="Refunds" sheetId="6" state="visible" r:id="rId6"/>
    <sheet xmlns:r="http://schemas.openxmlformats.org/officeDocument/2006/relationships" name="Settings" sheetId="7" state="visible" r:id="rId7"/>
    <sheet xmlns:r="http://schemas.openxmlformats.org/officeDocument/2006/relationships" name="MRR monthly" sheetId="8" state="visible" r:id="rId8"/>
  </sheets>
  <definedNames>
    <definedName name="rs_orders">Orders!$A$1:$G$61</definedName>
    <definedName name="rs_subs">Subscriptions!$A$1:$G$31</definedName>
    <definedName name="rs_customers">Customers!$A$1:$F$26</definedName>
    <definedName name="rs_mrr_monthly">'MRR monthly'!$A$1:$F$13</definedName>
    <definedName name="_xlnm.Print_Area" localSheetId="0">'Dashboard'!$A$1:$Q$35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"/>
    <numFmt numFmtId="165" formatCode="mmm"/>
    <numFmt numFmtId="166" formatCode="$#,##0"/>
    <numFmt numFmtId="167" formatCode="0.0%"/>
    <numFmt numFmtId="168" formatCode="&quot;▲ &quot;0.0%;&quot;▼ &quot;0.0%;&quot;– &quot;0.0%"/>
    <numFmt numFmtId="169" formatCode="&quot;▲ &quot;#,##0&quot; net new&quot;;&quot;▼ &quot;#,##0"/>
    <numFmt numFmtId="170" formatCode="&quot;▲ &quot;0.0&quot; pts&quot;;&quot;▼ &quot;0.0&quot; pts&quot;"/>
    <numFmt numFmtId="171" formatCode="+0.0%;-0.0%;0.0%"/>
    <numFmt numFmtId="172" formatCode="yyyy-mm-dd h:mm:ss"/>
    <numFmt numFmtId="173" formatCode="yyyy-mm-dd hh:mm"/>
    <numFmt numFmtId="174" formatCode="$#,##0.00"/>
  </numFmts>
  <fonts count="15">
    <font>
      <name val="Calibri"/>
      <family val="2"/>
      <color theme="1"/>
      <sz val="11"/>
      <scheme val="minor"/>
    </font>
    <font>
      <name val="Inter Tight"/>
      <color rgb="000D0D0D"/>
      <sz val="9"/>
    </font>
    <font>
      <name val="Inter Tight"/>
      <b val="1"/>
      <color rgb="000D0D0D"/>
      <sz val="15"/>
    </font>
    <font>
      <name val="JetBrains Mono"/>
      <color rgb="005C5C5C"/>
      <sz val="8"/>
    </font>
    <font>
      <name val="Inter Tight"/>
      <b val="1"/>
      <color rgb="000D0D0D"/>
      <sz val="22"/>
    </font>
    <font>
      <name val="JetBrains Mono"/>
      <sz val="8"/>
    </font>
    <font>
      <name val="Inter Tight"/>
      <b val="1"/>
      <color rgb="000D0D0D"/>
      <sz val="11"/>
    </font>
    <font>
      <name val="JetBrains Mono"/>
      <b val="1"/>
      <color rgb="005C5C5C"/>
      <sz val="8"/>
    </font>
    <font>
      <name val="Inter Tight"/>
      <color rgb="005C5C5C"/>
      <sz val="9"/>
    </font>
    <font>
      <name val="JetBrains Mono"/>
      <color rgb="000D0D0D"/>
      <sz val="9"/>
    </font>
    <font>
      <name val="Inter Tight"/>
      <b val="1"/>
      <color rgb="000D0D0D"/>
      <sz val="9"/>
    </font>
    <font>
      <name val="Inter Tight"/>
      <b val="1"/>
      <color rgb="005C5C5C"/>
      <sz val="9"/>
    </font>
    <font>
      <name val="JetBrains Mono"/>
      <b val="1"/>
      <color rgb="000D0D0D"/>
      <sz val="9"/>
    </font>
    <font>
      <name val="Inter Tight"/>
      <color rgb="000A7A55"/>
      <sz val="9"/>
    </font>
    <font>
      <name val="JetBrains Mono"/>
      <color rgb="005C5C5C"/>
      <sz val="9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6E6E6"/>
      </patternFill>
    </fill>
    <fill>
      <patternFill patternType="solid">
        <fgColor rgb="00D9D9D9"/>
      </patternFill>
    </fill>
    <fill>
      <patternFill patternType="solid">
        <fgColor rgb="00CCCCCC"/>
      </patternFill>
    </fill>
  </fills>
  <borders count="20">
    <border>
      <left/>
      <right/>
      <top/>
      <bottom/>
      <diagonal/>
    </border>
    <border>
      <bottom style="medium">
        <color rgb="000D0D0D"/>
      </bottom>
    </border>
    <border>
      <bottom style="thin">
        <color rgb="00E6E6E6"/>
      </bottom>
    </border>
    <border>
      <left style="thin">
        <color rgb="00E6E6E6"/>
      </left>
      <top style="medium">
        <color rgb="000D0D0D"/>
      </top>
    </border>
    <border>
      <top style="medium">
        <color rgb="000D0D0D"/>
      </top>
    </border>
    <border>
      <right style="thin">
        <color rgb="00E6E6E6"/>
      </right>
      <top style="medium">
        <color rgb="000D0D0D"/>
      </top>
    </border>
    <border>
      <left style="thin">
        <color rgb="00E6E6E6"/>
      </left>
    </border>
    <border/>
    <border>
      <right style="thin">
        <color rgb="00E6E6E6"/>
      </right>
    </border>
    <border>
      <left style="thin">
        <color rgb="00E6E6E6"/>
      </left>
      <bottom style="thin">
        <color rgb="00E6E6E6"/>
      </bottom>
    </border>
    <border>
      <right style="thin">
        <color rgb="00E6E6E6"/>
      </right>
      <bottom style="thin">
        <color rgb="00E6E6E6"/>
      </bottom>
    </border>
    <border>
      <bottom style="thin">
        <color rgb="008C8C8C"/>
      </bottom>
    </border>
    <border>
      <top style="thin">
        <color rgb="000D0D0D"/>
      </top>
      <bottom style="thin">
        <color rgb="00E6E6E6"/>
      </bottom>
    </border>
    <border>
      <right/>
      <bottom style="thin">
        <color rgb="008C8C8C"/>
      </bottom>
    </border>
    <border>
      <left/>
      <right/>
      <top/>
      <bottom style="thin">
        <color rgb="008C8C8C"/>
      </bottom>
      <diagonal/>
    </border>
    <border>
      <right/>
      <bottom style="thin">
        <color rgb="00E6E6E6"/>
      </bottom>
    </border>
    <border>
      <left/>
      <right/>
      <top/>
      <bottom style="thin">
        <color rgb="00E6E6E6"/>
      </bottom>
      <diagonal/>
    </border>
    <border>
      <top style="medium">
        <color rgb="000D0D0D"/>
      </top>
      <bottom style="thin">
        <color rgb="008C8C8C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0" fillId="2" borderId="2" pivotButton="0" quotePrefix="0" xfId="0"/>
    <xf numFmtId="0" fontId="3" fillId="2" borderId="2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3" applyAlignment="1" pivotButton="0" quotePrefix="0" xfId="0">
      <alignment vertical="top" indent="1"/>
    </xf>
    <xf numFmtId="0" fontId="0" fillId="0" borderId="4" pivotButton="0" quotePrefix="0" xfId="0"/>
    <xf numFmtId="0" fontId="0" fillId="0" borderId="5" pivotButton="0" quotePrefix="0" xfId="0"/>
    <xf numFmtId="166" fontId="4" fillId="0" borderId="6" applyAlignment="1" pivotButton="0" quotePrefix="0" xfId="0">
      <alignment horizontal="left" vertical="center" indent="1"/>
    </xf>
    <xf numFmtId="0" fontId="0" fillId="0" borderId="7" pivotButton="0" quotePrefix="0" xfId="0"/>
    <xf numFmtId="0" fontId="0" fillId="0" borderId="8" pivotButton="0" quotePrefix="0" xfId="0"/>
    <xf numFmtId="3" fontId="4" fillId="0" borderId="6" applyAlignment="1" pivotButton="0" quotePrefix="0" xfId="0">
      <alignment horizontal="left" vertical="center" indent="1"/>
    </xf>
    <xf numFmtId="167" fontId="4" fillId="0" borderId="6" applyAlignment="1" pivotButton="0" quotePrefix="0" xfId="0">
      <alignment horizontal="left" vertical="center" indent="1"/>
    </xf>
    <xf numFmtId="168" fontId="5" fillId="0" borderId="9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169" fontId="5" fillId="0" borderId="9" applyAlignment="1" pivotButton="0" quotePrefix="0" xfId="0">
      <alignment horizontal="left" vertical="center" indent="1"/>
    </xf>
    <xf numFmtId="170" fontId="5" fillId="0" borderId="9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bottom"/>
    </xf>
    <xf numFmtId="0" fontId="7" fillId="2" borderId="11" applyAlignment="1" pivotButton="0" quotePrefix="0" xfId="0">
      <alignment horizontal="left" vertical="center" indent="1"/>
    </xf>
    <xf numFmtId="0" fontId="1" fillId="2" borderId="11" pivotButton="0" quotePrefix="0" xfId="0"/>
    <xf numFmtId="0" fontId="7" fillId="2" borderId="11" applyAlignment="1" pivotButton="0" quotePrefix="0" xfId="0">
      <alignment horizontal="right" vertical="center" indent="1"/>
    </xf>
    <xf numFmtId="0" fontId="7" fillId="2" borderId="13" applyAlignment="1" pivotButton="0" quotePrefix="0" xfId="0">
      <alignment horizontal="left" vertical="center" indent="1"/>
    </xf>
    <xf numFmtId="0" fontId="0" fillId="0" borderId="14" pivotButton="0" quotePrefix="0" xfId="0"/>
    <xf numFmtId="0" fontId="1" fillId="0" borderId="2" applyAlignment="1" pivotButton="0" quotePrefix="0" xfId="0">
      <alignment horizontal="left" vertical="center" indent="1"/>
    </xf>
    <xf numFmtId="0" fontId="8" fillId="0" borderId="2" applyAlignment="1" pivotButton="0" quotePrefix="0" xfId="0">
      <alignment horizontal="left" vertical="center" indent="1"/>
    </xf>
    <xf numFmtId="0" fontId="1" fillId="0" borderId="2" pivotButton="0" quotePrefix="0" xfId="0"/>
    <xf numFmtId="166" fontId="9" fillId="0" borderId="2" applyAlignment="1" pivotButton="0" quotePrefix="0" xfId="0">
      <alignment horizontal="right" vertical="center" indent="1"/>
    </xf>
    <xf numFmtId="171" fontId="9" fillId="0" borderId="2" applyAlignment="1" pivotButton="0" quotePrefix="0" xfId="0">
      <alignment horizontal="right" vertical="center" indent="1"/>
    </xf>
    <xf numFmtId="0" fontId="1" fillId="0" borderId="15" applyAlignment="1" pivotButton="0" quotePrefix="0" xfId="0">
      <alignment horizontal="left" vertical="center" indent="1"/>
    </xf>
    <xf numFmtId="0" fontId="0" fillId="0" borderId="16" pivotButton="0" quotePrefix="0" xfId="0"/>
    <xf numFmtId="167" fontId="9" fillId="0" borderId="2" applyAlignment="1" pivotButton="0" quotePrefix="0" xfId="0">
      <alignment horizontal="right" vertical="center" indent="1"/>
    </xf>
    <xf numFmtId="0" fontId="13" fillId="0" borderId="2" applyAlignment="1" pivotButton="0" quotePrefix="0" xfId="0">
      <alignment horizontal="left" vertical="center" indent="1"/>
    </xf>
    <xf numFmtId="0" fontId="10" fillId="0" borderId="12" applyAlignment="1" pivotButton="0" quotePrefix="0" xfId="0">
      <alignment horizontal="left" vertical="center" indent="1"/>
    </xf>
    <xf numFmtId="0" fontId="11" fillId="0" borderId="12" applyAlignment="1" pivotButton="0" quotePrefix="0" xfId="0">
      <alignment horizontal="left" vertical="center" indent="1"/>
    </xf>
    <xf numFmtId="166" fontId="12" fillId="0" borderId="12" applyAlignment="1" pivotButton="0" quotePrefix="0" xfId="0">
      <alignment horizontal="right" vertical="center" indent="1"/>
    </xf>
    <xf numFmtId="171" fontId="12" fillId="0" borderId="12" applyAlignment="1" pivotButton="0" quotePrefix="0" xfId="0">
      <alignment horizontal="right" vertical="center" indent="1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7" fillId="2" borderId="17" applyAlignment="1" pivotButton="0" quotePrefix="0" xfId="0">
      <alignment horizontal="left" vertical="center" indent="1"/>
    </xf>
    <xf numFmtId="0" fontId="7" fillId="2" borderId="17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 indent="1"/>
    </xf>
    <xf numFmtId="0" fontId="14" fillId="0" borderId="2" applyAlignment="1" pivotButton="0" quotePrefix="0" xfId="0">
      <alignment horizontal="center" vertical="center"/>
    </xf>
    <xf numFmtId="9" fontId="9" fillId="0" borderId="18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/>
    </xf>
    <xf numFmtId="0" fontId="3" fillId="2" borderId="19" applyAlignment="1" pivotButton="0" quotePrefix="0" xfId="0">
      <alignment horizontal="center"/>
    </xf>
    <xf numFmtId="0" fontId="3" fillId="4" borderId="19" applyAlignment="1" pivotButton="0" quotePrefix="0" xfId="0">
      <alignment horizontal="center"/>
    </xf>
    <xf numFmtId="0" fontId="3" fillId="5" borderId="19" applyAlignment="1" pivotButton="0" quotePrefix="0" xfId="0">
      <alignment horizontal="center"/>
    </xf>
    <xf numFmtId="0" fontId="3" fillId="6" borderId="19" applyAlignment="1" pivotButton="0" quotePrefix="0" xfId="0">
      <alignment horizontal="center"/>
    </xf>
    <xf numFmtId="0" fontId="7" fillId="2" borderId="11" applyAlignment="1" pivotButton="0" quotePrefix="0" xfId="0">
      <alignment vertical="center"/>
    </xf>
    <xf numFmtId="173" fontId="9" fillId="0" borderId="0" applyAlignment="1" pivotButton="0" quotePrefix="0" xfId="0">
      <alignment horizontal="right"/>
    </xf>
    <xf numFmtId="174" fontId="9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0" fontId="7" fillId="2" borderId="0" pivotButton="0" quotePrefix="0" xfId="0"/>
    <xf numFmtId="17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dxfs count="9">
    <dxf>
      <font>
        <color rgb="000A7A55"/>
      </font>
    </dxf>
    <dxf>
      <font>
        <color rgb="00B42318"/>
      </font>
    </dxf>
    <dxf>
      <font>
        <color rgb="005C5C5C"/>
      </font>
    </dxf>
    <dxf>
      <fill>
        <patternFill patternType="solid">
          <fgColor rgb="00CCCCCC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E6E6E6"/>
        </patternFill>
      </fill>
    </dxf>
    <dxf>
      <fill>
        <patternFill patternType="solid">
          <fgColor rgb="00F2F2F2"/>
        </patternFill>
      </fill>
    </dxf>
    <dxf>
      <fill>
        <patternFill patternType="solid">
          <fgColor rgb="00FFFFFF"/>
        </patternFill>
      </fill>
    </dxf>
    <dxf>
      <font>
        <b val="1"/>
        <color rgb="00B4231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barChart>
        <barDir val="col"/>
        <grouping val="stacked"/>
        <ser>
          <idx val="0"/>
          <order val="0"/>
          <tx>
            <strRef>
              <f>'MRR monthly'!B1</f>
            </strRef>
          </tx>
          <spPr>
            <a:solidFill xmlns:a="http://schemas.openxmlformats.org/drawingml/2006/main">
              <a:srgbClr val="0D0D0D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'MRR monthly'!$A$2:$A$13</f>
            </numRef>
          </cat>
          <val>
            <numRef>
              <f>'MRR monthly'!$B$2:$B$13</f>
            </numRef>
          </val>
        </ser>
        <ser>
          <idx val="1"/>
          <order val="1"/>
          <tx>
            <strRef>
              <f>'MRR monthly'!C1</f>
            </strRef>
          </tx>
          <spPr>
            <a:solidFill xmlns:a="http://schemas.openxmlformats.org/drawingml/2006/main">
              <a:srgbClr val="5C5C5C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'MRR monthly'!$A$2:$A$13</f>
            </numRef>
          </cat>
          <val>
            <numRef>
              <f>'MRR monthly'!$C$2:$C$13</f>
            </numRef>
          </val>
        </ser>
        <ser>
          <idx val="2"/>
          <order val="2"/>
          <tx>
            <strRef>
              <f>'MRR monthly'!D1</f>
            </strRef>
          </tx>
          <spPr>
            <a:solidFill xmlns:a="http://schemas.openxmlformats.org/drawingml/2006/main">
              <a:srgbClr val="8C8C8C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'MRR monthly'!$A$2:$A$13</f>
            </numRef>
          </cat>
          <val>
            <numRef>
              <f>'MRR monthly'!$D$2:$D$13</f>
            </numRef>
          </val>
        </ser>
        <gapWidth val="42"/>
        <overlap val="100"/>
        <axId val="10"/>
        <axId val="100"/>
      </bar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$#,##0" sourceLinked="0"/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'MRR monthly'!F1</f>
            </strRef>
          </tx>
          <spPr>
            <a:ln xmlns:a="http://schemas.openxmlformats.org/drawingml/2006/main" w="25400">
              <a:solidFill>
                <a:srgbClr val="0D0D0D"/>
              </a:solidFill>
              <a:prstDash val="solid"/>
            </a:ln>
          </spPr>
          <marker>
            <symbol val="circle"/>
            <size val="4"/>
            <spPr>
              <a:solidFill xmlns:a="http://schemas.openxmlformats.org/drawingml/2006/main">
                <a:srgbClr val="0D0D0D"/>
              </a:solidFill>
              <a:ln xmlns:a="http://schemas.openxmlformats.org/drawingml/2006/main">
                <a:solidFill>
                  <a:srgbClr val="0D0D0D"/>
                </a:solidFill>
                <a:prstDash val="solid"/>
              </a:ln>
            </spPr>
          </marker>
          <cat>
            <numRef>
              <f>'MRR monthly'!$A$2:$A$13</f>
            </numRef>
          </cat>
          <val>
            <numRef>
              <f>'MRR monthly'!$F$2:$F$13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crossAx val="100"/>
        <lblOffset val="100"/>
        <tickLblSkip val="3"/>
      </catAx>
      <valAx>
        <axId val="100"/>
        <scaling>
          <orientation val="minMax"/>
          <max val="0.04"/>
          <min val="0.02"/>
        </scaling>
        <delete val="0"/>
        <axPos val="l"/>
        <majorGridlines>
          <spPr>
            <a:ln xmlns:a="http://schemas.openxmlformats.org/drawingml/2006/main">
              <a:solidFill>
                <a:srgbClr val="E6E6E6"/>
              </a:solidFill>
              <a:prstDash val="solid"/>
            </a:ln>
          </spPr>
        </majorGridlines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RevenueSheet</author>
  </authors>
  <commentList>
    <comment ref="A1" authorId="0" shapeId="0">
      <text>
        <t>Managed by RevenueSheet: edits are overwritten on sync. Add your own columns to the right.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7542857" cy="2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8</row>
      <rowOff>0</rowOff>
    </from>
    <ext cx="2514285" cy="2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D0D0D"/>
    <outlinePr summaryBelow="1" summaryRight="1"/>
    <pageSetUpPr fitToPage="1"/>
  </sheetPr>
  <dimension ref="A1:Q35"/>
  <sheetViews>
    <sheetView showGridLines="0" workbookViewId="0">
      <selection activeCell="A1" sqref="A1"/>
    </sheetView>
  </sheetViews>
  <sheetFormatPr baseColWidth="8" defaultRowHeight="15"/>
  <cols>
    <col width="2.71" customWidth="1" min="1" max="1"/>
    <col width="11.86" customWidth="1" min="2" max="2"/>
    <col width="11.86" customWidth="1" min="3" max="3"/>
    <col width="11.86" customWidth="1" min="4" max="4"/>
    <col width="1.57" customWidth="1" min="5" max="5"/>
    <col width="11.86" customWidth="1" min="6" max="6"/>
    <col width="11.86" customWidth="1" min="7" max="7"/>
    <col width="11.86" customWidth="1" min="8" max="8"/>
    <col width="1.57" customWidth="1" min="9" max="9"/>
    <col width="11.86" customWidth="1" min="10" max="10"/>
    <col width="11.86" customWidth="1" min="11" max="11"/>
    <col width="11.86" customWidth="1" min="12" max="12"/>
    <col width="1.57" customWidth="1" min="13" max="13"/>
    <col width="11.86" customWidth="1" min="14" max="14"/>
    <col width="11.86" customWidth="1" min="15" max="15"/>
    <col width="11.86" customWidth="1" min="16" max="16"/>
    <col width="2.71" customWidth="1" min="17" max="17"/>
  </cols>
  <sheetData>
    <row r="1" ht="42" customHeight="1">
      <c r="A1" s="1" t="inlineStr">
        <is>
          <t xml:space="preserve">   Revenue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 xml:space="preserve">EXAMPLE STUDIO · USD  </t>
        </is>
      </c>
      <c r="N1" s="2" t="n"/>
      <c r="O1" s="2" t="n"/>
      <c r="P1" s="2" t="n"/>
      <c r="Q1" s="2" t="n"/>
    </row>
    <row r="2" ht="21" customHeight="1">
      <c r="A2" s="4" t="inlineStr">
        <is>
          <t xml:space="preserve">   ● SYNCED 2026-10-09 10:02 · STRIPE, LEMON SQUEEZY, POLAR, GUMROAD, CSV · HOURLY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6" t="inlineStr">
        <is>
          <t xml:space="preserve">EXAMPLE DATA · NOT REAL CUSTOMERS  </t>
        </is>
      </c>
      <c r="N2" s="5" t="n"/>
      <c r="O2" s="5" t="n"/>
      <c r="P2" s="5" t="n"/>
      <c r="Q2" s="5" t="n"/>
    </row>
    <row r="3" ht="15" customHeight="1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 ht="16.5" customHeight="1">
      <c r="A4" s="7" t="n"/>
      <c r="B4" s="8" t="inlineStr">
        <is>
          <t>MRR</t>
        </is>
      </c>
      <c r="C4" s="9" t="n"/>
      <c r="D4" s="10" t="n"/>
      <c r="E4" s="7" t="n"/>
      <c r="F4" s="8" t="inlineStr">
        <is>
          <t>NET REVENUE · 30D</t>
        </is>
      </c>
      <c r="G4" s="9" t="n"/>
      <c r="H4" s="10" t="n"/>
      <c r="I4" s="7" t="n"/>
      <c r="J4" s="8" t="inlineStr">
        <is>
          <t>ACTIVE SUBSCRIPTIONS</t>
        </is>
      </c>
      <c r="K4" s="9" t="n"/>
      <c r="L4" s="10" t="n"/>
      <c r="M4" s="7" t="n"/>
      <c r="N4" s="8" t="inlineStr">
        <is>
          <t>CHURN · 30D</t>
        </is>
      </c>
      <c r="O4" s="9" t="n"/>
      <c r="P4" s="10" t="n"/>
      <c r="Q4" s="7" t="n"/>
    </row>
    <row r="5" ht="30" customHeight="1">
      <c r="A5" s="7" t="n"/>
      <c r="B5" s="11">
        <f>'MRR monthly'!E13</f>
        <v/>
      </c>
      <c r="C5" s="12" t="n"/>
      <c r="D5" s="13" t="n"/>
      <c r="E5" s="7" t="n"/>
      <c r="F5" s="11" t="n">
        <v>6912</v>
      </c>
      <c r="G5" s="12" t="n"/>
      <c r="H5" s="13" t="n"/>
      <c r="I5" s="7" t="n"/>
      <c r="J5" s="14" t="n">
        <v>418</v>
      </c>
      <c r="K5" s="12" t="n"/>
      <c r="L5" s="13" t="n"/>
      <c r="M5" s="7" t="n"/>
      <c r="N5" s="15">
        <f>'MRR monthly'!F13</f>
        <v/>
      </c>
      <c r="O5" s="12" t="n"/>
      <c r="P5" s="13" t="n"/>
      <c r="Q5" s="7" t="n"/>
    </row>
    <row r="6" ht="16.5" customHeight="1">
      <c r="A6" s="7" t="n"/>
      <c r="B6" s="16">
        <f>'MRR monthly'!E13/'MRR monthly'!E12-1</f>
        <v/>
      </c>
      <c r="C6" s="17" t="n"/>
      <c r="D6" s="18" t="n"/>
      <c r="E6" s="7" t="n"/>
      <c r="F6" s="16" t="n">
        <v>0.051</v>
      </c>
      <c r="G6" s="17" t="n"/>
      <c r="H6" s="18" t="n"/>
      <c r="I6" s="7" t="n"/>
      <c r="J6" s="19" t="n">
        <v>23</v>
      </c>
      <c r="K6" s="17" t="n"/>
      <c r="L6" s="18" t="n"/>
      <c r="M6" s="7" t="n"/>
      <c r="N6" s="20">
        <f>('MRR monthly'!F13-'MRR monthly'!F12)*100</f>
        <v/>
      </c>
      <c r="O6" s="17" t="n"/>
      <c r="P6" s="18" t="n"/>
      <c r="Q6" s="7" t="n"/>
    </row>
    <row r="7" ht="1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A8" s="7" t="n"/>
      <c r="B8" s="21" t="inlineStr">
        <is>
          <t>MRR by source · last 12 months</t>
        </is>
      </c>
      <c r="M8" s="7" t="n"/>
      <c r="N8" s="21" t="inlineStr">
        <is>
          <t>Churn · monthly</t>
        </is>
      </c>
      <c r="Q8" s="7" t="n"/>
    </row>
    <row r="9" ht="15.75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 ht="15.75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 ht="15.75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 ht="15.75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 ht="15.7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 ht="15.75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 ht="15.75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 ht="15.75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 ht="15.75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 ht="15.75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 ht="15.75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 ht="15.75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 ht="15.75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 ht="15.75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 ht="21" customHeight="1">
      <c r="A24" s="7" t="n"/>
      <c r="B24" s="21" t="inlineStr">
        <is>
          <t>Revenue by product · 30d</t>
        </is>
      </c>
      <c r="I24" s="7" t="n"/>
      <c r="J24" s="21" t="inlineStr">
        <is>
          <t>Revenue by source · 30d</t>
        </is>
      </c>
      <c r="Q24" s="7" t="n"/>
    </row>
    <row r="25" ht="15.75" customHeight="1">
      <c r="A25" s="7" t="n"/>
      <c r="B25" s="22" t="inlineStr">
        <is>
          <t>PRODUCT</t>
        </is>
      </c>
      <c r="D25" s="22" t="inlineStr">
        <is>
          <t>SOURCE</t>
        </is>
      </c>
      <c r="E25" s="23" t="n"/>
      <c r="F25" s="24" t="inlineStr">
        <is>
          <t>REVENUE</t>
        </is>
      </c>
      <c r="H25" s="24" t="inlineStr">
        <is>
          <t>VS PRIOR</t>
        </is>
      </c>
      <c r="I25" s="7" t="n"/>
      <c r="J25" s="25" t="inlineStr">
        <is>
          <t>SOURCE</t>
        </is>
      </c>
      <c r="K25" s="26" t="n"/>
      <c r="L25" s="24" t="inlineStr">
        <is>
          <t>REVENUE</t>
        </is>
      </c>
      <c r="M25" s="23" t="n"/>
      <c r="N25" s="24" t="inlineStr">
        <is>
          <t>SHARE</t>
        </is>
      </c>
      <c r="O25" s="24" t="inlineStr">
        <is>
          <t>VS PRIOR</t>
        </is>
      </c>
      <c r="P25" s="22" t="inlineStr">
        <is>
          <t>STATUS</t>
        </is>
      </c>
      <c r="Q25" s="7" t="n"/>
    </row>
    <row r="26" ht="15.75" customHeight="1">
      <c r="A26" s="7" t="n"/>
      <c r="B26" s="27" t="inlineStr">
        <is>
          <t>Demo SaaS · Pro</t>
        </is>
      </c>
      <c r="D26" s="28" t="inlineStr">
        <is>
          <t>Polar</t>
        </is>
      </c>
      <c r="E26" s="29" t="n"/>
      <c r="F26" s="30" t="n">
        <v>2140</v>
      </c>
      <c r="H26" s="31" t="n">
        <v>0.124</v>
      </c>
      <c r="I26" s="7" t="n"/>
      <c r="J26" s="32" t="inlineStr">
        <is>
          <t>Lemon Squeezy</t>
        </is>
      </c>
      <c r="K26" s="33" t="n"/>
      <c r="L26" s="30" t="n">
        <v>2080</v>
      </c>
      <c r="M26" s="29" t="n"/>
      <c r="N26" s="34" t="n">
        <v>0.268</v>
      </c>
      <c r="O26" s="31" t="n">
        <v>0.042</v>
      </c>
      <c r="P26" s="35" t="inlineStr">
        <is>
          <t>● Synced</t>
        </is>
      </c>
      <c r="Q26" s="7" t="n"/>
    </row>
    <row r="27" ht="15.75" customHeight="1">
      <c r="A27" s="7" t="n"/>
      <c r="B27" s="27" t="inlineStr">
        <is>
          <t>Example Course Bundle</t>
        </is>
      </c>
      <c r="D27" s="28" t="inlineStr">
        <is>
          <t>Lemon Squeezy</t>
        </is>
      </c>
      <c r="E27" s="29" t="n"/>
      <c r="F27" s="30" t="n">
        <v>1890</v>
      </c>
      <c r="H27" s="31" t="n">
        <v>0.062</v>
      </c>
      <c r="I27" s="7" t="n"/>
      <c r="J27" s="32" t="inlineStr">
        <is>
          <t>Polar</t>
        </is>
      </c>
      <c r="K27" s="33" t="n"/>
      <c r="L27" s="30" t="n">
        <v>3460</v>
      </c>
      <c r="M27" s="29" t="n"/>
      <c r="N27" s="34" t="n">
        <v>0.446</v>
      </c>
      <c r="O27" s="31" t="n">
        <v>0.149</v>
      </c>
      <c r="P27" s="35" t="inlineStr">
        <is>
          <t>● Synced</t>
        </is>
      </c>
      <c r="Q27" s="7" t="n"/>
    </row>
    <row r="28" ht="15.75" customHeight="1">
      <c r="A28" s="7" t="n"/>
      <c r="B28" s="27" t="inlineStr">
        <is>
          <t>Demo SaaS · Team</t>
        </is>
      </c>
      <c r="D28" s="28" t="inlineStr">
        <is>
          <t>Polar</t>
        </is>
      </c>
      <c r="E28" s="29" t="n"/>
      <c r="F28" s="30" t="n">
        <v>1320</v>
      </c>
      <c r="H28" s="31" t="n">
        <v>0.18</v>
      </c>
      <c r="I28" s="7" t="n"/>
      <c r="J28" s="32" t="inlineStr">
        <is>
          <t>Gumroad</t>
        </is>
      </c>
      <c r="K28" s="33" t="n"/>
      <c r="L28" s="30" t="n">
        <v>1372</v>
      </c>
      <c r="M28" s="29" t="n"/>
      <c r="N28" s="34" t="n">
        <v>0.177</v>
      </c>
      <c r="O28" s="31" t="n">
        <v>-0.048</v>
      </c>
      <c r="P28" s="35" t="inlineStr">
        <is>
          <t>● Synced</t>
        </is>
      </c>
      <c r="Q28" s="7" t="n"/>
    </row>
    <row r="29" ht="15.75" customHeight="1">
      <c r="A29" s="7" t="n"/>
      <c r="B29" s="27" t="inlineStr">
        <is>
          <t>Template Kit (example)</t>
        </is>
      </c>
      <c r="D29" s="28" t="inlineStr">
        <is>
          <t>Gumroad</t>
        </is>
      </c>
      <c r="E29" s="29" t="n"/>
      <c r="F29" s="30" t="n">
        <v>860</v>
      </c>
      <c r="H29" s="31" t="n">
        <v>-0.031</v>
      </c>
      <c r="I29" s="7" t="n"/>
      <c r="J29" s="32" t="inlineStr">
        <is>
          <t>Stripe</t>
        </is>
      </c>
      <c r="K29" s="33" t="n"/>
      <c r="L29" s="30" t="n">
        <v>846</v>
      </c>
      <c r="M29" s="29" t="n"/>
      <c r="N29" s="34" t="n">
        <v>0.109</v>
      </c>
      <c r="O29" s="31" t="n">
        <v>0</v>
      </c>
      <c r="P29" s="35" t="inlineStr">
        <is>
          <t>● Synced</t>
        </is>
      </c>
      <c r="Q29" s="7" t="n"/>
    </row>
    <row r="30" ht="15.75" customHeight="1">
      <c r="A30" s="7" t="n"/>
      <c r="B30" s="27" t="inlineStr">
        <is>
          <t>Sample Icon Pack</t>
        </is>
      </c>
      <c r="D30" s="28" t="inlineStr">
        <is>
          <t>Gumroad</t>
        </is>
      </c>
      <c r="E30" s="29" t="n"/>
      <c r="F30" s="30" t="n">
        <v>512</v>
      </c>
      <c r="H30" s="31" t="n">
        <v>-0.08599999999999999</v>
      </c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 ht="15.75" customHeight="1">
      <c r="A31" s="7" t="n"/>
      <c r="B31" s="27" t="inlineStr">
        <is>
          <t>Sample E-book</t>
        </is>
      </c>
      <c r="D31" s="28" t="inlineStr">
        <is>
          <t>Lemon Squeezy</t>
        </is>
      </c>
      <c r="E31" s="29" t="n"/>
      <c r="F31" s="30" t="n">
        <v>190</v>
      </c>
      <c r="H31" s="31" t="n">
        <v>0.02</v>
      </c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 ht="15.75" customHeight="1">
      <c r="A32" s="7" t="n"/>
      <c r="B32" s="36" t="inlineStr">
        <is>
          <t>Total</t>
        </is>
      </c>
      <c r="D32" s="37" t="inlineStr"/>
      <c r="E32" s="29" t="n"/>
      <c r="F32" s="38">
        <f>SUM(F26:F31)</f>
        <v/>
      </c>
      <c r="H32" s="39" t="n">
        <v>0.051</v>
      </c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 ht="15.75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</row>
    <row r="34" ht="18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 ht="15" customHeight="1">
      <c r="A35" s="7" t="n"/>
      <c r="B35" s="40" t="inlineStr">
        <is>
          <t>Managed by RevenueSheet · edits in synced ranges are overwritten · add your own columns to the right of P · example data</t>
        </is>
      </c>
      <c r="Q35" s="7" t="n"/>
    </row>
  </sheetData>
  <mergeCells count="42">
    <mergeCell ref="J6:L6"/>
    <mergeCell ref="F5:H5"/>
    <mergeCell ref="J29:K29"/>
    <mergeCell ref="B25:C25"/>
    <mergeCell ref="F29:G29"/>
    <mergeCell ref="F25:G25"/>
    <mergeCell ref="N5:P5"/>
    <mergeCell ref="B24:H24"/>
    <mergeCell ref="J4:L4"/>
    <mergeCell ref="N8:P8"/>
    <mergeCell ref="B31:C31"/>
    <mergeCell ref="B27:C27"/>
    <mergeCell ref="J28:K28"/>
    <mergeCell ref="M1:Q1"/>
    <mergeCell ref="A2:L2"/>
    <mergeCell ref="F30:G30"/>
    <mergeCell ref="M2:Q2"/>
    <mergeCell ref="J27:K27"/>
    <mergeCell ref="F32:G32"/>
    <mergeCell ref="F26:G26"/>
    <mergeCell ref="B6:D6"/>
    <mergeCell ref="N6:P6"/>
    <mergeCell ref="J26:K26"/>
    <mergeCell ref="B8:L8"/>
    <mergeCell ref="B5:D5"/>
    <mergeCell ref="B29:C29"/>
    <mergeCell ref="B4:D4"/>
    <mergeCell ref="B28:C28"/>
    <mergeCell ref="J25:K25"/>
    <mergeCell ref="F31:G31"/>
    <mergeCell ref="F4:H4"/>
    <mergeCell ref="F28:G28"/>
    <mergeCell ref="B35:P35"/>
    <mergeCell ref="N4:P4"/>
    <mergeCell ref="J24:P24"/>
    <mergeCell ref="F27:G27"/>
    <mergeCell ref="J5:L5"/>
    <mergeCell ref="B30:C30"/>
    <mergeCell ref="F6:H6"/>
    <mergeCell ref="A1:L1"/>
    <mergeCell ref="B32:C32"/>
    <mergeCell ref="B26:C26"/>
  </mergeCells>
  <conditionalFormatting sqref="B6">
    <cfRule type="cellIs" priority="1" operator="greaterThan" dxfId="0">
      <formula>0</formula>
    </cfRule>
    <cfRule type="cellIs" priority="2" operator="lessThan" dxfId="1">
      <formula>0</formula>
    </cfRule>
    <cfRule type="cellIs" priority="3" operator="equal" dxfId="2">
      <formula>0</formula>
    </cfRule>
  </conditionalFormatting>
  <conditionalFormatting sqref="F6">
    <cfRule type="cellIs" priority="4" operator="greaterThan" dxfId="0">
      <formula>0</formula>
    </cfRule>
    <cfRule type="cellIs" priority="5" operator="lessThan" dxfId="1">
      <formula>0</formula>
    </cfRule>
    <cfRule type="cellIs" priority="6" operator="equal" dxfId="2">
      <formula>0</formula>
    </cfRule>
  </conditionalFormatting>
  <conditionalFormatting sqref="J6">
    <cfRule type="cellIs" priority="7" operator="greaterThan" dxfId="0">
      <formula>0</formula>
    </cfRule>
    <cfRule type="cellIs" priority="8" operator="lessThan" dxfId="1">
      <formula>0</formula>
    </cfRule>
    <cfRule type="cellIs" priority="9" operator="equal" dxfId="2">
      <formula>0</formula>
    </cfRule>
  </conditionalFormatting>
  <conditionalFormatting sqref="N6">
    <cfRule type="cellIs" priority="10" operator="greaterThan" dxfId="1">
      <formula>0</formula>
    </cfRule>
    <cfRule type="cellIs" priority="11" operator="lessThan" dxfId="0">
      <formula>0</formula>
    </cfRule>
    <cfRule type="cellIs" priority="12" operator="equal" dxfId="2">
      <formula>0</formula>
    </cfRule>
  </conditionalFormatting>
  <conditionalFormatting sqref="H26:H3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equal" dxfId="2">
      <formula>0</formula>
    </cfRule>
  </conditionalFormatting>
  <conditionalFormatting sqref="O26:O29">
    <cfRule type="cellIs" priority="16" operator="greaterThan" dxfId="0">
      <formula>0</formula>
    </cfRule>
    <cfRule type="cellIs" priority="17" operator="lessThan" dxfId="1">
      <formula>0</formula>
    </cfRule>
    <cfRule type="cellIs" priority="18" operator="equal" dxfId="2">
      <formula>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0D0D0D"/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.71" customWidth="1" min="1" max="1"/>
    <col width="13" customWidth="1" min="2" max="2"/>
    <col width="7.29" customWidth="1" min="3" max="3"/>
    <col width="9.57" customWidth="1" min="4" max="4"/>
    <col width="9.57" customWidth="1" min="5" max="5"/>
    <col width="9.57" customWidth="1" min="6" max="6"/>
    <col width="9.57" customWidth="1" min="7" max="7"/>
    <col width="9.57" customWidth="1" min="8" max="8"/>
    <col width="9.57" customWidth="1" min="9" max="9"/>
    <col width="2.71" customWidth="1" min="10" max="10"/>
  </cols>
  <sheetData>
    <row r="1" ht="42" customHeight="1">
      <c r="A1" s="1" t="inlineStr">
        <is>
          <t xml:space="preserve">   Cohort retention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1" customHeight="1">
      <c r="B2" s="41" t="inlineStr">
        <is>
          <t>LOGO RETENTION BY START MONTH · DARKER CELL = HIGHER RETENTION · EXAMPLE DATA</t>
        </is>
      </c>
    </row>
    <row r="4" ht="18" customHeight="1">
      <c r="B4" s="42" t="inlineStr">
        <is>
          <t>COHORT</t>
        </is>
      </c>
      <c r="C4" s="43" t="inlineStr">
        <is>
          <t>N</t>
        </is>
      </c>
      <c r="D4" s="43" t="inlineStr">
        <is>
          <t>M0</t>
        </is>
      </c>
      <c r="E4" s="43" t="inlineStr">
        <is>
          <t>M1</t>
        </is>
      </c>
      <c r="F4" s="43" t="inlineStr">
        <is>
          <t>M2</t>
        </is>
      </c>
      <c r="G4" s="43" t="inlineStr">
        <is>
          <t>M3</t>
        </is>
      </c>
      <c r="H4" s="43" t="inlineStr">
        <is>
          <t>M4</t>
        </is>
      </c>
      <c r="I4" s="43" t="inlineStr">
        <is>
          <t>M5</t>
        </is>
      </c>
    </row>
    <row r="5" ht="18" customHeight="1">
      <c r="B5" s="44" t="inlineStr">
        <is>
          <t>2026-05</t>
        </is>
      </c>
      <c r="C5" s="45" t="n">
        <v>38</v>
      </c>
      <c r="D5" s="46" t="n">
        <v>1</v>
      </c>
      <c r="E5" s="46" t="n">
        <v>0.92</v>
      </c>
      <c r="F5" s="46" t="n">
        <v>0.87</v>
      </c>
      <c r="G5" s="46" t="n">
        <v>0.84</v>
      </c>
      <c r="H5" s="46" t="n">
        <v>0.79</v>
      </c>
      <c r="I5" s="46" t="n">
        <v>0.76</v>
      </c>
    </row>
    <row r="6" ht="18" customHeight="1">
      <c r="B6" s="44" t="inlineStr">
        <is>
          <t>2026-06</t>
        </is>
      </c>
      <c r="C6" s="45" t="n">
        <v>41</v>
      </c>
      <c r="D6" s="46" t="n">
        <v>1</v>
      </c>
      <c r="E6" s="46" t="n">
        <v>0.93</v>
      </c>
      <c r="F6" s="46" t="n">
        <v>0.88</v>
      </c>
      <c r="G6" s="46" t="n">
        <v>0.83</v>
      </c>
      <c r="H6" s="46" t="n">
        <v>0.8</v>
      </c>
      <c r="I6" s="46" t="n"/>
    </row>
    <row r="7" ht="18" customHeight="1">
      <c r="B7" s="44" t="inlineStr">
        <is>
          <t>2026-07</t>
        </is>
      </c>
      <c r="C7" s="45" t="n">
        <v>42</v>
      </c>
      <c r="D7" s="46" t="n">
        <v>1</v>
      </c>
      <c r="E7" s="46" t="n">
        <v>0.93</v>
      </c>
      <c r="F7" s="46" t="n">
        <v>0.86</v>
      </c>
      <c r="G7" s="46" t="n">
        <v>0.8100000000000001</v>
      </c>
      <c r="H7" s="46" t="n"/>
      <c r="I7" s="46" t="n"/>
    </row>
    <row r="8" ht="18" customHeight="1">
      <c r="B8" s="44" t="inlineStr">
        <is>
          <t>2026-08</t>
        </is>
      </c>
      <c r="C8" s="45" t="n">
        <v>48</v>
      </c>
      <c r="D8" s="46" t="n">
        <v>1</v>
      </c>
      <c r="E8" s="46" t="n">
        <v>0.9399999999999999</v>
      </c>
      <c r="F8" s="46" t="n">
        <v>0.88</v>
      </c>
      <c r="G8" s="46" t="n"/>
      <c r="H8" s="46" t="n"/>
      <c r="I8" s="46" t="n"/>
    </row>
    <row r="9" ht="18" customHeight="1">
      <c r="B9" s="44" t="inlineStr">
        <is>
          <t>2026-09</t>
        </is>
      </c>
      <c r="C9" s="45" t="n">
        <v>51</v>
      </c>
      <c r="D9" s="46" t="n">
        <v>1</v>
      </c>
      <c r="E9" s="46" t="n">
        <v>0.92</v>
      </c>
      <c r="F9" s="46" t="n"/>
      <c r="G9" s="46" t="n"/>
      <c r="H9" s="46" t="n"/>
      <c r="I9" s="46" t="n"/>
    </row>
    <row r="10" ht="18" customHeight="1">
      <c r="B10" s="44" t="inlineStr">
        <is>
          <t>2026-10</t>
        </is>
      </c>
      <c r="C10" s="45" t="n">
        <v>29</v>
      </c>
      <c r="D10" s="46" t="n">
        <v>1</v>
      </c>
      <c r="E10" s="46" t="n"/>
      <c r="F10" s="46" t="n"/>
      <c r="G10" s="46" t="n"/>
      <c r="H10" s="46" t="n"/>
      <c r="I10" s="46" t="n"/>
    </row>
    <row r="12">
      <c r="B12" s="40" t="inlineStr">
        <is>
          <t>RAMP</t>
        </is>
      </c>
      <c r="D12" s="47" t="inlineStr">
        <is>
          <t>&lt;80%</t>
        </is>
      </c>
      <c r="E12" s="48" t="inlineStr">
        <is>
          <t>80%</t>
        </is>
      </c>
      <c r="F12" s="49" t="inlineStr">
        <is>
          <t>85%</t>
        </is>
      </c>
      <c r="G12" s="50" t="inlineStr">
        <is>
          <t>90%</t>
        </is>
      </c>
      <c r="H12" s="51" t="inlineStr">
        <is>
          <t>99%+</t>
        </is>
      </c>
    </row>
    <row r="14">
      <c r="B14" s="40" t="inlineStr">
        <is>
          <t>Managed by RevenueSheet · edits in synced ranges are overwritten · example data</t>
        </is>
      </c>
    </row>
  </sheetData>
  <mergeCells count="3">
    <mergeCell ref="B14:I14"/>
    <mergeCell ref="A1:J1"/>
    <mergeCell ref="B2:I2"/>
  </mergeCells>
  <conditionalFormatting sqref="D5:I10">
    <cfRule type="expression" priority="1" dxfId="3" stopIfTrue="1">
      <formula>AND(ISNUMBER(D5),D5&gt;=0.99)</formula>
    </cfRule>
    <cfRule type="expression" priority="2" dxfId="4" stopIfTrue="1">
      <formula>AND(ISNUMBER(D5),D5&gt;=0.9)</formula>
    </cfRule>
    <cfRule type="expression" priority="3" dxfId="5" stopIfTrue="1">
      <formula>AND(ISNUMBER(D5),D5&gt;=0.85)</formula>
    </cfRule>
    <cfRule type="expression" priority="4" dxfId="6" stopIfTrue="1">
      <formula>AND(ISNUMBER(D5),D5&gt;=0.8)</formula>
    </cfRule>
    <cfRule type="expression" priority="5" dxfId="7" stopIfTrue="1">
      <formula>AND(ISNUMBER(D5),D5&lt;0.8)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0D0D"/>
    <outlinePr summaryBelow="1" summaryRight="1"/>
    <pageSetUpPr/>
  </sheetPr>
  <dimension ref="A1:G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  <col width="30" customWidth="1" min="5" max="5"/>
    <col width="18" customWidth="1" min="6" max="6"/>
    <col width="12" customWidth="1" min="7" max="7"/>
  </cols>
  <sheetData>
    <row r="1" ht="21" customHeight="1">
      <c r="A1" s="52" t="inlineStr">
        <is>
          <t>Order ID</t>
        </is>
      </c>
      <c r="B1" s="52" t="inlineStr">
        <is>
          <t>Created</t>
        </is>
      </c>
      <c r="C1" s="52" t="inlineStr">
        <is>
          <t>Source</t>
        </is>
      </c>
      <c r="D1" s="52" t="inlineStr">
        <is>
          <t>Product</t>
        </is>
      </c>
      <c r="E1" s="52" t="inlineStr">
        <is>
          <t>Customer email</t>
        </is>
      </c>
      <c r="F1" s="52" t="inlineStr">
        <is>
          <t>Amount (USD)</t>
        </is>
      </c>
      <c r="G1" s="52" t="inlineStr">
        <is>
          <t>Status</t>
        </is>
      </c>
    </row>
    <row r="2">
      <c r="A2" s="7" t="inlineStr">
        <is>
          <t>EX-10480</t>
        </is>
      </c>
      <c r="B2" s="53" t="n">
        <v>46304.41666666666</v>
      </c>
      <c r="C2" s="7" t="inlineStr">
        <is>
          <t>CSV import</t>
        </is>
      </c>
      <c r="D2" s="7" t="inlineStr">
        <is>
          <t>Template Kit (example)</t>
        </is>
      </c>
      <c r="E2" s="7" t="inlineStr">
        <is>
          <t>customer247@example.com</t>
        </is>
      </c>
      <c r="F2" s="54" t="n">
        <v>19</v>
      </c>
      <c r="G2" s="7" t="inlineStr">
        <is>
          <t>paid</t>
        </is>
      </c>
    </row>
    <row r="3">
      <c r="A3" s="7" t="inlineStr">
        <is>
          <t>EX-10479</t>
        </is>
      </c>
      <c r="B3" s="53" t="n">
        <v>46304.125</v>
      </c>
      <c r="C3" s="7" t="inlineStr">
        <is>
          <t>CSV import</t>
        </is>
      </c>
      <c r="D3" s="7" t="inlineStr">
        <is>
          <t>Demo SaaS · Pro</t>
        </is>
      </c>
      <c r="E3" s="7" t="inlineStr">
        <is>
          <t>customer673@example.com</t>
        </is>
      </c>
      <c r="F3" s="54" t="n">
        <v>9</v>
      </c>
      <c r="G3" s="7" t="inlineStr">
        <is>
          <t>refunded</t>
        </is>
      </c>
    </row>
    <row r="4">
      <c r="A4" s="7" t="inlineStr">
        <is>
          <t>EX-10478</t>
        </is>
      </c>
      <c r="B4" s="53" t="n">
        <v>46303.83333333334</v>
      </c>
      <c r="C4" s="7" t="inlineStr">
        <is>
          <t>Polar</t>
        </is>
      </c>
      <c r="D4" s="7" t="inlineStr">
        <is>
          <t>Demo SaaS · Team</t>
        </is>
      </c>
      <c r="E4" s="7" t="inlineStr">
        <is>
          <t>customer754@example.com</t>
        </is>
      </c>
      <c r="F4" s="54" t="n">
        <v>9</v>
      </c>
      <c r="G4" s="7" t="inlineStr">
        <is>
          <t>refunded</t>
        </is>
      </c>
    </row>
    <row r="5">
      <c r="A5" s="7" t="inlineStr">
        <is>
          <t>EX-10477</t>
        </is>
      </c>
      <c r="B5" s="53" t="n">
        <v>46303.54166666666</v>
      </c>
      <c r="C5" s="7" t="inlineStr">
        <is>
          <t>Polar</t>
        </is>
      </c>
      <c r="D5" s="7" t="inlineStr">
        <is>
          <t>Demo SaaS · Team</t>
        </is>
      </c>
      <c r="E5" s="7" t="inlineStr">
        <is>
          <t>customer829@example.com</t>
        </is>
      </c>
      <c r="F5" s="54" t="n">
        <v>29</v>
      </c>
      <c r="G5" s="7" t="inlineStr">
        <is>
          <t>paid</t>
        </is>
      </c>
    </row>
    <row r="6">
      <c r="A6" s="7" t="inlineStr">
        <is>
          <t>EX-10476</t>
        </is>
      </c>
      <c r="B6" s="53" t="n">
        <v>46303.25</v>
      </c>
      <c r="C6" s="7" t="inlineStr">
        <is>
          <t>Lemon Squeezy</t>
        </is>
      </c>
      <c r="D6" s="7" t="inlineStr">
        <is>
          <t>Demo SaaS · Team</t>
        </is>
      </c>
      <c r="E6" s="7" t="inlineStr">
        <is>
          <t>customer310@example.com</t>
        </is>
      </c>
      <c r="F6" s="54" t="n">
        <v>79</v>
      </c>
      <c r="G6" s="7" t="inlineStr">
        <is>
          <t>paid</t>
        </is>
      </c>
    </row>
    <row r="7">
      <c r="A7" s="7" t="inlineStr">
        <is>
          <t>EX-10475</t>
        </is>
      </c>
      <c r="B7" s="53" t="n">
        <v>46302.95833333334</v>
      </c>
      <c r="C7" s="7" t="inlineStr">
        <is>
          <t>Stripe</t>
        </is>
      </c>
      <c r="D7" s="7" t="inlineStr">
        <is>
          <t>Template Kit (example)</t>
        </is>
      </c>
      <c r="E7" s="7" t="inlineStr">
        <is>
          <t>customer895@example.com</t>
        </is>
      </c>
      <c r="F7" s="54" t="n">
        <v>12</v>
      </c>
      <c r="G7" s="7" t="inlineStr">
        <is>
          <t>paid</t>
        </is>
      </c>
    </row>
    <row r="8">
      <c r="A8" s="7" t="inlineStr">
        <is>
          <t>EX-10474</t>
        </is>
      </c>
      <c r="B8" s="53" t="n">
        <v>46302.66666666666</v>
      </c>
      <c r="C8" s="7" t="inlineStr">
        <is>
          <t>Gumroad</t>
        </is>
      </c>
      <c r="D8" s="7" t="inlineStr">
        <is>
          <t>Template Kit (example)</t>
        </is>
      </c>
      <c r="E8" s="7" t="inlineStr">
        <is>
          <t>customer470@example.com</t>
        </is>
      </c>
      <c r="F8" s="54" t="n">
        <v>49</v>
      </c>
      <c r="G8" s="7" t="inlineStr">
        <is>
          <t>refunded</t>
        </is>
      </c>
    </row>
    <row r="9">
      <c r="A9" s="7" t="inlineStr">
        <is>
          <t>EX-10473</t>
        </is>
      </c>
      <c r="B9" s="53" t="n">
        <v>46302.375</v>
      </c>
      <c r="C9" s="7" t="inlineStr">
        <is>
          <t>Gumroad</t>
        </is>
      </c>
      <c r="D9" s="7" t="inlineStr">
        <is>
          <t>Sample E-book</t>
        </is>
      </c>
      <c r="E9" s="7" t="inlineStr">
        <is>
          <t>customer898@example.com</t>
        </is>
      </c>
      <c r="F9" s="54" t="n">
        <v>19</v>
      </c>
      <c r="G9" s="7" t="inlineStr">
        <is>
          <t>paid</t>
        </is>
      </c>
    </row>
    <row r="10">
      <c r="A10" s="7" t="inlineStr">
        <is>
          <t>EX-10472</t>
        </is>
      </c>
      <c r="B10" s="53" t="n">
        <v>46302.08333333334</v>
      </c>
      <c r="C10" s="7" t="inlineStr">
        <is>
          <t>Polar</t>
        </is>
      </c>
      <c r="D10" s="7" t="inlineStr">
        <is>
          <t>Demo SaaS · Pro</t>
        </is>
      </c>
      <c r="E10" s="7" t="inlineStr">
        <is>
          <t>customer637@example.com</t>
        </is>
      </c>
      <c r="F10" s="54" t="n">
        <v>9</v>
      </c>
      <c r="G10" s="7" t="inlineStr">
        <is>
          <t>refunded</t>
        </is>
      </c>
    </row>
    <row r="11">
      <c r="A11" s="7" t="inlineStr">
        <is>
          <t>EX-10471</t>
        </is>
      </c>
      <c r="B11" s="53" t="n">
        <v>46301.79166666666</v>
      </c>
      <c r="C11" s="7" t="inlineStr">
        <is>
          <t>Stripe</t>
        </is>
      </c>
      <c r="D11" s="7" t="inlineStr">
        <is>
          <t>Demo SaaS · Pro</t>
        </is>
      </c>
      <c r="E11" s="7" t="inlineStr">
        <is>
          <t>customer723@example.com</t>
        </is>
      </c>
      <c r="F11" s="54" t="n">
        <v>29</v>
      </c>
      <c r="G11" s="7" t="inlineStr">
        <is>
          <t>paid</t>
        </is>
      </c>
    </row>
    <row r="12">
      <c r="A12" s="7" t="inlineStr">
        <is>
          <t>EX-10470</t>
        </is>
      </c>
      <c r="B12" s="53" t="n">
        <v>46301.5</v>
      </c>
      <c r="C12" s="7" t="inlineStr">
        <is>
          <t>Lemon Squeezy</t>
        </is>
      </c>
      <c r="D12" s="7" t="inlineStr">
        <is>
          <t>Template Kit (example)</t>
        </is>
      </c>
      <c r="E12" s="7" t="inlineStr">
        <is>
          <t>customer268@example.com</t>
        </is>
      </c>
      <c r="F12" s="54" t="n">
        <v>9</v>
      </c>
      <c r="G12" s="7" t="inlineStr">
        <is>
          <t>paid</t>
        </is>
      </c>
    </row>
    <row r="13">
      <c r="A13" s="7" t="inlineStr">
        <is>
          <t>EX-10469</t>
        </is>
      </c>
      <c r="B13" s="53" t="n">
        <v>46301.20833333334</v>
      </c>
      <c r="C13" s="7" t="inlineStr">
        <is>
          <t>Gumroad</t>
        </is>
      </c>
      <c r="D13" s="7" t="inlineStr">
        <is>
          <t>Template Kit (example)</t>
        </is>
      </c>
      <c r="E13" s="7" t="inlineStr">
        <is>
          <t>customer140@example.com</t>
        </is>
      </c>
      <c r="F13" s="54" t="n">
        <v>19</v>
      </c>
      <c r="G13" s="7" t="inlineStr">
        <is>
          <t>paid</t>
        </is>
      </c>
    </row>
    <row r="14">
      <c r="A14" s="7" t="inlineStr">
        <is>
          <t>EX-10468</t>
        </is>
      </c>
      <c r="B14" s="53" t="n">
        <v>46300.91666666666</v>
      </c>
      <c r="C14" s="7" t="inlineStr">
        <is>
          <t>Lemon Squeezy</t>
        </is>
      </c>
      <c r="D14" s="7" t="inlineStr">
        <is>
          <t>Demo SaaS · Pro</t>
        </is>
      </c>
      <c r="E14" s="7" t="inlineStr">
        <is>
          <t>customer448@example.com</t>
        </is>
      </c>
      <c r="F14" s="54" t="n">
        <v>79</v>
      </c>
      <c r="G14" s="7" t="inlineStr">
        <is>
          <t>refunded</t>
        </is>
      </c>
    </row>
    <row r="15">
      <c r="A15" s="7" t="inlineStr">
        <is>
          <t>EX-10467</t>
        </is>
      </c>
      <c r="B15" s="53" t="n">
        <v>46300.625</v>
      </c>
      <c r="C15" s="7" t="inlineStr">
        <is>
          <t>Gumroad</t>
        </is>
      </c>
      <c r="D15" s="7" t="inlineStr">
        <is>
          <t>Demo SaaS · Team</t>
        </is>
      </c>
      <c r="E15" s="7" t="inlineStr">
        <is>
          <t>customer916@example.com</t>
        </is>
      </c>
      <c r="F15" s="54" t="n">
        <v>79</v>
      </c>
      <c r="G15" s="7" t="inlineStr">
        <is>
          <t>paid</t>
        </is>
      </c>
    </row>
    <row r="16">
      <c r="A16" s="7" t="inlineStr">
        <is>
          <t>EX-10466</t>
        </is>
      </c>
      <c r="B16" s="53" t="n">
        <v>46300.33333333334</v>
      </c>
      <c r="C16" s="7" t="inlineStr">
        <is>
          <t>Stripe</t>
        </is>
      </c>
      <c r="D16" s="7" t="inlineStr">
        <is>
          <t>Demo SaaS · Pro</t>
        </is>
      </c>
      <c r="E16" s="7" t="inlineStr">
        <is>
          <t>customer585@example.com</t>
        </is>
      </c>
      <c r="F16" s="54" t="n">
        <v>9</v>
      </c>
      <c r="G16" s="7" t="inlineStr">
        <is>
          <t>paid</t>
        </is>
      </c>
    </row>
    <row r="17">
      <c r="A17" s="7" t="inlineStr">
        <is>
          <t>EX-10465</t>
        </is>
      </c>
      <c r="B17" s="53" t="n">
        <v>46300.04166666666</v>
      </c>
      <c r="C17" s="7" t="inlineStr">
        <is>
          <t>Lemon Squeezy</t>
        </is>
      </c>
      <c r="D17" s="7" t="inlineStr">
        <is>
          <t>Sample E-book</t>
        </is>
      </c>
      <c r="E17" s="7" t="inlineStr">
        <is>
          <t>customer691@example.com</t>
        </is>
      </c>
      <c r="F17" s="54" t="n">
        <v>9</v>
      </c>
      <c r="G17" s="7" t="inlineStr">
        <is>
          <t>paid</t>
        </is>
      </c>
    </row>
    <row r="18">
      <c r="A18" s="7" t="inlineStr">
        <is>
          <t>EX-10464</t>
        </is>
      </c>
      <c r="B18" s="53" t="n">
        <v>46299.75</v>
      </c>
      <c r="C18" s="7" t="inlineStr">
        <is>
          <t>Stripe</t>
        </is>
      </c>
      <c r="D18" s="7" t="inlineStr">
        <is>
          <t>Sample E-book</t>
        </is>
      </c>
      <c r="E18" s="7" t="inlineStr">
        <is>
          <t>customer455@example.com</t>
        </is>
      </c>
      <c r="F18" s="54" t="n">
        <v>29</v>
      </c>
      <c r="G18" s="7" t="inlineStr">
        <is>
          <t>paid</t>
        </is>
      </c>
    </row>
    <row r="19">
      <c r="A19" s="7" t="inlineStr">
        <is>
          <t>EX-10463</t>
        </is>
      </c>
      <c r="B19" s="53" t="n">
        <v>46299.45833333334</v>
      </c>
      <c r="C19" s="7" t="inlineStr">
        <is>
          <t>Lemon Squeezy</t>
        </is>
      </c>
      <c r="D19" s="7" t="inlineStr">
        <is>
          <t>Sample Icon Pack</t>
        </is>
      </c>
      <c r="E19" s="7" t="inlineStr">
        <is>
          <t>customer725@example.com</t>
        </is>
      </c>
      <c r="F19" s="54" t="n">
        <v>49</v>
      </c>
      <c r="G19" s="7" t="inlineStr">
        <is>
          <t>paid</t>
        </is>
      </c>
    </row>
    <row r="20">
      <c r="A20" s="7" t="inlineStr">
        <is>
          <t>EX-10462</t>
        </is>
      </c>
      <c r="B20" s="53" t="n">
        <v>46299.16666666666</v>
      </c>
      <c r="C20" s="7" t="inlineStr">
        <is>
          <t>Lemon Squeezy</t>
        </is>
      </c>
      <c r="D20" s="7" t="inlineStr">
        <is>
          <t>Sample Icon Pack</t>
        </is>
      </c>
      <c r="E20" s="7" t="inlineStr">
        <is>
          <t>customer886@example.com</t>
        </is>
      </c>
      <c r="F20" s="54" t="n">
        <v>49</v>
      </c>
      <c r="G20" s="7" t="inlineStr">
        <is>
          <t>paid</t>
        </is>
      </c>
    </row>
    <row r="21">
      <c r="A21" s="7" t="inlineStr">
        <is>
          <t>EX-10461</t>
        </is>
      </c>
      <c r="B21" s="53" t="n">
        <v>46298.875</v>
      </c>
      <c r="C21" s="7" t="inlineStr">
        <is>
          <t>Gumroad</t>
        </is>
      </c>
      <c r="D21" s="7" t="inlineStr">
        <is>
          <t>Template Kit (example)</t>
        </is>
      </c>
      <c r="E21" s="7" t="inlineStr">
        <is>
          <t>customer500@example.com</t>
        </is>
      </c>
      <c r="F21" s="54" t="n">
        <v>19</v>
      </c>
      <c r="G21" s="7" t="inlineStr">
        <is>
          <t>paid</t>
        </is>
      </c>
    </row>
    <row r="22">
      <c r="A22" s="7" t="inlineStr">
        <is>
          <t>EX-10460</t>
        </is>
      </c>
      <c r="B22" s="53" t="n">
        <v>46298.58333333334</v>
      </c>
      <c r="C22" s="7" t="inlineStr">
        <is>
          <t>Stripe</t>
        </is>
      </c>
      <c r="D22" s="7" t="inlineStr">
        <is>
          <t>Template Kit (example)</t>
        </is>
      </c>
      <c r="E22" s="7" t="inlineStr">
        <is>
          <t>customer511@example.com</t>
        </is>
      </c>
      <c r="F22" s="54" t="n">
        <v>9</v>
      </c>
      <c r="G22" s="7" t="inlineStr">
        <is>
          <t>paid</t>
        </is>
      </c>
    </row>
    <row r="23">
      <c r="A23" s="7" t="inlineStr">
        <is>
          <t>EX-10459</t>
        </is>
      </c>
      <c r="B23" s="53" t="n">
        <v>46298.29166666666</v>
      </c>
      <c r="C23" s="7" t="inlineStr">
        <is>
          <t>CSV import</t>
        </is>
      </c>
      <c r="D23" s="7" t="inlineStr">
        <is>
          <t>Template Kit (example)</t>
        </is>
      </c>
      <c r="E23" s="7" t="inlineStr">
        <is>
          <t>customer984@example.com</t>
        </is>
      </c>
      <c r="F23" s="54" t="n">
        <v>29</v>
      </c>
      <c r="G23" s="7" t="inlineStr">
        <is>
          <t>paid</t>
        </is>
      </c>
    </row>
    <row r="24">
      <c r="A24" s="7" t="inlineStr">
        <is>
          <t>EX-10458</t>
        </is>
      </c>
      <c r="B24" s="53" t="n">
        <v>46298</v>
      </c>
      <c r="C24" s="7" t="inlineStr">
        <is>
          <t>CSV import</t>
        </is>
      </c>
      <c r="D24" s="7" t="inlineStr">
        <is>
          <t>Demo SaaS · Pro</t>
        </is>
      </c>
      <c r="E24" s="7" t="inlineStr">
        <is>
          <t>customer799@example.com</t>
        </is>
      </c>
      <c r="F24" s="54" t="n">
        <v>29</v>
      </c>
      <c r="G24" s="7" t="inlineStr">
        <is>
          <t>paid</t>
        </is>
      </c>
    </row>
    <row r="25">
      <c r="A25" s="7" t="inlineStr">
        <is>
          <t>EX-10457</t>
        </is>
      </c>
      <c r="B25" s="53" t="n">
        <v>46297.70833333334</v>
      </c>
      <c r="C25" s="7" t="inlineStr">
        <is>
          <t>Stripe</t>
        </is>
      </c>
      <c r="D25" s="7" t="inlineStr">
        <is>
          <t>Example Course Bundle</t>
        </is>
      </c>
      <c r="E25" s="7" t="inlineStr">
        <is>
          <t>customer280@example.com</t>
        </is>
      </c>
      <c r="F25" s="54" t="n">
        <v>19</v>
      </c>
      <c r="G25" s="7" t="inlineStr">
        <is>
          <t>paid</t>
        </is>
      </c>
    </row>
    <row r="26">
      <c r="A26" s="7" t="inlineStr">
        <is>
          <t>EX-10456</t>
        </is>
      </c>
      <c r="B26" s="53" t="n">
        <v>46297.41666666666</v>
      </c>
      <c r="C26" s="7" t="inlineStr">
        <is>
          <t>Polar</t>
        </is>
      </c>
      <c r="D26" s="7" t="inlineStr">
        <is>
          <t>Example Course Bundle</t>
        </is>
      </c>
      <c r="E26" s="7" t="inlineStr">
        <is>
          <t>customer596@example.com</t>
        </is>
      </c>
      <c r="F26" s="54" t="n">
        <v>19</v>
      </c>
      <c r="G26" s="7" t="inlineStr">
        <is>
          <t>paid</t>
        </is>
      </c>
    </row>
    <row r="27">
      <c r="A27" s="7" t="inlineStr">
        <is>
          <t>EX-10455</t>
        </is>
      </c>
      <c r="B27" s="53" t="n">
        <v>46297.125</v>
      </c>
      <c r="C27" s="7" t="inlineStr">
        <is>
          <t>CSV import</t>
        </is>
      </c>
      <c r="D27" s="7" t="inlineStr">
        <is>
          <t>Demo SaaS · Pro</t>
        </is>
      </c>
      <c r="E27" s="7" t="inlineStr">
        <is>
          <t>customer104@example.com</t>
        </is>
      </c>
      <c r="F27" s="54" t="n">
        <v>19</v>
      </c>
      <c r="G27" s="7" t="inlineStr">
        <is>
          <t>paid</t>
        </is>
      </c>
    </row>
    <row r="28">
      <c r="A28" s="7" t="inlineStr">
        <is>
          <t>EX-10454</t>
        </is>
      </c>
      <c r="B28" s="53" t="n">
        <v>46296.83333333334</v>
      </c>
      <c r="C28" s="7" t="inlineStr">
        <is>
          <t>Polar</t>
        </is>
      </c>
      <c r="D28" s="7" t="inlineStr">
        <is>
          <t>Demo SaaS · Pro</t>
        </is>
      </c>
      <c r="E28" s="7" t="inlineStr">
        <is>
          <t>customer724@example.com</t>
        </is>
      </c>
      <c r="F28" s="54" t="n">
        <v>49</v>
      </c>
      <c r="G28" s="7" t="inlineStr">
        <is>
          <t>paid</t>
        </is>
      </c>
    </row>
    <row r="29">
      <c r="A29" s="7" t="inlineStr">
        <is>
          <t>EX-10453</t>
        </is>
      </c>
      <c r="B29" s="53" t="n">
        <v>46296.54166666666</v>
      </c>
      <c r="C29" s="7" t="inlineStr">
        <is>
          <t>CSV import</t>
        </is>
      </c>
      <c r="D29" s="7" t="inlineStr">
        <is>
          <t>Sample E-book</t>
        </is>
      </c>
      <c r="E29" s="7" t="inlineStr">
        <is>
          <t>customer979@example.com</t>
        </is>
      </c>
      <c r="F29" s="54" t="n">
        <v>29</v>
      </c>
      <c r="G29" s="7" t="inlineStr">
        <is>
          <t>paid</t>
        </is>
      </c>
    </row>
    <row r="30">
      <c r="A30" s="7" t="inlineStr">
        <is>
          <t>EX-10452</t>
        </is>
      </c>
      <c r="B30" s="53" t="n">
        <v>46296.25</v>
      </c>
      <c r="C30" s="7" t="inlineStr">
        <is>
          <t>CSV import</t>
        </is>
      </c>
      <c r="D30" s="7" t="inlineStr">
        <is>
          <t>Template Kit (example)</t>
        </is>
      </c>
      <c r="E30" s="7" t="inlineStr">
        <is>
          <t>customer991@example.com</t>
        </is>
      </c>
      <c r="F30" s="54" t="n">
        <v>79</v>
      </c>
      <c r="G30" s="7" t="inlineStr">
        <is>
          <t>paid</t>
        </is>
      </c>
    </row>
    <row r="31">
      <c r="A31" s="7" t="inlineStr">
        <is>
          <t>EX-10451</t>
        </is>
      </c>
      <c r="B31" s="53" t="n">
        <v>46295.95833333334</v>
      </c>
      <c r="C31" s="7" t="inlineStr">
        <is>
          <t>CSV import</t>
        </is>
      </c>
      <c r="D31" s="7" t="inlineStr">
        <is>
          <t>Template Kit (example)</t>
        </is>
      </c>
      <c r="E31" s="7" t="inlineStr">
        <is>
          <t>customer503@example.com</t>
        </is>
      </c>
      <c r="F31" s="54" t="n">
        <v>49</v>
      </c>
      <c r="G31" s="7" t="inlineStr">
        <is>
          <t>paid</t>
        </is>
      </c>
    </row>
    <row r="32">
      <c r="A32" s="7" t="inlineStr">
        <is>
          <t>EX-10450</t>
        </is>
      </c>
      <c r="B32" s="53" t="n">
        <v>46295.66666666666</v>
      </c>
      <c r="C32" s="7" t="inlineStr">
        <is>
          <t>Lemon Squeezy</t>
        </is>
      </c>
      <c r="D32" s="7" t="inlineStr">
        <is>
          <t>Example Course Bundle</t>
        </is>
      </c>
      <c r="E32" s="7" t="inlineStr">
        <is>
          <t>customer295@example.com</t>
        </is>
      </c>
      <c r="F32" s="54" t="n">
        <v>49</v>
      </c>
      <c r="G32" s="7" t="inlineStr">
        <is>
          <t>paid</t>
        </is>
      </c>
    </row>
    <row r="33">
      <c r="A33" s="7" t="inlineStr">
        <is>
          <t>EX-10449</t>
        </is>
      </c>
      <c r="B33" s="53" t="n">
        <v>46295.375</v>
      </c>
      <c r="C33" s="7" t="inlineStr">
        <is>
          <t>Lemon Squeezy</t>
        </is>
      </c>
      <c r="D33" s="7" t="inlineStr">
        <is>
          <t>Sample Icon Pack</t>
        </is>
      </c>
      <c r="E33" s="7" t="inlineStr">
        <is>
          <t>customer212@example.com</t>
        </is>
      </c>
      <c r="F33" s="54" t="n">
        <v>19</v>
      </c>
      <c r="G33" s="7" t="inlineStr">
        <is>
          <t>paid</t>
        </is>
      </c>
    </row>
    <row r="34">
      <c r="A34" s="7" t="inlineStr">
        <is>
          <t>EX-10448</t>
        </is>
      </c>
      <c r="B34" s="53" t="n">
        <v>46295.08333333334</v>
      </c>
      <c r="C34" s="7" t="inlineStr">
        <is>
          <t>Gumroad</t>
        </is>
      </c>
      <c r="D34" s="7" t="inlineStr">
        <is>
          <t>Example Course Bundle</t>
        </is>
      </c>
      <c r="E34" s="7" t="inlineStr">
        <is>
          <t>customer100@example.com</t>
        </is>
      </c>
      <c r="F34" s="54" t="n">
        <v>79</v>
      </c>
      <c r="G34" s="7" t="inlineStr">
        <is>
          <t>paid</t>
        </is>
      </c>
    </row>
    <row r="35">
      <c r="A35" s="7" t="inlineStr">
        <is>
          <t>EX-10447</t>
        </is>
      </c>
      <c r="B35" s="53" t="n">
        <v>46294.79166666666</v>
      </c>
      <c r="C35" s="7" t="inlineStr">
        <is>
          <t>CSV import</t>
        </is>
      </c>
      <c r="D35" s="7" t="inlineStr">
        <is>
          <t>Example Course Bundle</t>
        </is>
      </c>
      <c r="E35" s="7" t="inlineStr">
        <is>
          <t>customer472@example.com</t>
        </is>
      </c>
      <c r="F35" s="54" t="n">
        <v>19</v>
      </c>
      <c r="G35" s="7" t="inlineStr">
        <is>
          <t>paid</t>
        </is>
      </c>
    </row>
    <row r="36">
      <c r="A36" s="7" t="inlineStr">
        <is>
          <t>EX-10446</t>
        </is>
      </c>
      <c r="B36" s="53" t="n">
        <v>46294.5</v>
      </c>
      <c r="C36" s="7" t="inlineStr">
        <is>
          <t>CSV import</t>
        </is>
      </c>
      <c r="D36" s="7" t="inlineStr">
        <is>
          <t>Sample Icon Pack</t>
        </is>
      </c>
      <c r="E36" s="7" t="inlineStr">
        <is>
          <t>customer728@example.com</t>
        </is>
      </c>
      <c r="F36" s="54" t="n">
        <v>9</v>
      </c>
      <c r="G36" s="7" t="inlineStr">
        <is>
          <t>paid</t>
        </is>
      </c>
    </row>
    <row r="37">
      <c r="A37" s="7" t="inlineStr">
        <is>
          <t>EX-10445</t>
        </is>
      </c>
      <c r="B37" s="53" t="n">
        <v>46294.20833333334</v>
      </c>
      <c r="C37" s="7" t="inlineStr">
        <is>
          <t>Stripe</t>
        </is>
      </c>
      <c r="D37" s="7" t="inlineStr">
        <is>
          <t>Demo SaaS · Pro</t>
        </is>
      </c>
      <c r="E37" s="7" t="inlineStr">
        <is>
          <t>customer716@example.com</t>
        </is>
      </c>
      <c r="F37" s="54" t="n">
        <v>19</v>
      </c>
      <c r="G37" s="7" t="inlineStr">
        <is>
          <t>paid</t>
        </is>
      </c>
    </row>
    <row r="38">
      <c r="A38" s="7" t="inlineStr">
        <is>
          <t>EX-10444</t>
        </is>
      </c>
      <c r="B38" s="53" t="n">
        <v>46293.91666666666</v>
      </c>
      <c r="C38" s="7" t="inlineStr">
        <is>
          <t>Gumroad</t>
        </is>
      </c>
      <c r="D38" s="7" t="inlineStr">
        <is>
          <t>Example Course Bundle</t>
        </is>
      </c>
      <c r="E38" s="7" t="inlineStr">
        <is>
          <t>customer969@example.com</t>
        </is>
      </c>
      <c r="F38" s="54" t="n">
        <v>49</v>
      </c>
      <c r="G38" s="7" t="inlineStr">
        <is>
          <t>paid</t>
        </is>
      </c>
    </row>
    <row r="39">
      <c r="A39" s="7" t="inlineStr">
        <is>
          <t>EX-10443</t>
        </is>
      </c>
      <c r="B39" s="53" t="n">
        <v>46293.625</v>
      </c>
      <c r="C39" s="7" t="inlineStr">
        <is>
          <t>Stripe</t>
        </is>
      </c>
      <c r="D39" s="7" t="inlineStr">
        <is>
          <t>Template Kit (example)</t>
        </is>
      </c>
      <c r="E39" s="7" t="inlineStr">
        <is>
          <t>customer419@example.com</t>
        </is>
      </c>
      <c r="F39" s="54" t="n">
        <v>49</v>
      </c>
      <c r="G39" s="7" t="inlineStr">
        <is>
          <t>paid</t>
        </is>
      </c>
    </row>
    <row r="40">
      <c r="A40" s="7" t="inlineStr">
        <is>
          <t>EX-10442</t>
        </is>
      </c>
      <c r="B40" s="53" t="n">
        <v>46293.33333333334</v>
      </c>
      <c r="C40" s="7" t="inlineStr">
        <is>
          <t>Lemon Squeezy</t>
        </is>
      </c>
      <c r="D40" s="7" t="inlineStr">
        <is>
          <t>Sample E-book</t>
        </is>
      </c>
      <c r="E40" s="7" t="inlineStr">
        <is>
          <t>customer450@example.com</t>
        </is>
      </c>
      <c r="F40" s="54" t="n">
        <v>19</v>
      </c>
      <c r="G40" s="7" t="inlineStr">
        <is>
          <t>paid</t>
        </is>
      </c>
    </row>
    <row r="41">
      <c r="A41" s="7" t="inlineStr">
        <is>
          <t>EX-10441</t>
        </is>
      </c>
      <c r="B41" s="53" t="n">
        <v>46293.04166666666</v>
      </c>
      <c r="C41" s="7" t="inlineStr">
        <is>
          <t>Gumroad</t>
        </is>
      </c>
      <c r="D41" s="7" t="inlineStr">
        <is>
          <t>Demo SaaS · Team</t>
        </is>
      </c>
      <c r="E41" s="7" t="inlineStr">
        <is>
          <t>customer123@example.com</t>
        </is>
      </c>
      <c r="F41" s="54" t="n">
        <v>49</v>
      </c>
      <c r="G41" s="7" t="inlineStr">
        <is>
          <t>paid</t>
        </is>
      </c>
    </row>
    <row r="42">
      <c r="A42" s="7" t="inlineStr">
        <is>
          <t>EX-10440</t>
        </is>
      </c>
      <c r="B42" s="53" t="n">
        <v>46292.75</v>
      </c>
      <c r="C42" s="7" t="inlineStr">
        <is>
          <t>Polar</t>
        </is>
      </c>
      <c r="D42" s="7" t="inlineStr">
        <is>
          <t>Sample Icon Pack</t>
        </is>
      </c>
      <c r="E42" s="7" t="inlineStr">
        <is>
          <t>customer806@example.com</t>
        </is>
      </c>
      <c r="F42" s="54" t="n">
        <v>79</v>
      </c>
      <c r="G42" s="7" t="inlineStr">
        <is>
          <t>paid</t>
        </is>
      </c>
    </row>
    <row r="43">
      <c r="A43" s="7" t="inlineStr">
        <is>
          <t>EX-10439</t>
        </is>
      </c>
      <c r="B43" s="53" t="n">
        <v>46292.45833333334</v>
      </c>
      <c r="C43" s="7" t="inlineStr">
        <is>
          <t>CSV import</t>
        </is>
      </c>
      <c r="D43" s="7" t="inlineStr">
        <is>
          <t>Demo SaaS · Pro</t>
        </is>
      </c>
      <c r="E43" s="7" t="inlineStr">
        <is>
          <t>customer758@example.com</t>
        </is>
      </c>
      <c r="F43" s="54" t="n">
        <v>9</v>
      </c>
      <c r="G43" s="7" t="inlineStr">
        <is>
          <t>paid</t>
        </is>
      </c>
    </row>
    <row r="44">
      <c r="A44" s="7" t="inlineStr">
        <is>
          <t>EX-10438</t>
        </is>
      </c>
      <c r="B44" s="53" t="n">
        <v>46292.16666666666</v>
      </c>
      <c r="C44" s="7" t="inlineStr">
        <is>
          <t>Lemon Squeezy</t>
        </is>
      </c>
      <c r="D44" s="7" t="inlineStr">
        <is>
          <t>Demo SaaS · Team</t>
        </is>
      </c>
      <c r="E44" s="7" t="inlineStr">
        <is>
          <t>customer475@example.com</t>
        </is>
      </c>
      <c r="F44" s="54" t="n">
        <v>12</v>
      </c>
      <c r="G44" s="7" t="inlineStr">
        <is>
          <t>paid</t>
        </is>
      </c>
    </row>
    <row r="45">
      <c r="A45" s="7" t="inlineStr">
        <is>
          <t>EX-10437</t>
        </is>
      </c>
      <c r="B45" s="53" t="n">
        <v>46291.875</v>
      </c>
      <c r="C45" s="7" t="inlineStr">
        <is>
          <t>Polar</t>
        </is>
      </c>
      <c r="D45" s="7" t="inlineStr">
        <is>
          <t>Demo SaaS · Team</t>
        </is>
      </c>
      <c r="E45" s="7" t="inlineStr">
        <is>
          <t>customer654@example.com</t>
        </is>
      </c>
      <c r="F45" s="54" t="n">
        <v>29</v>
      </c>
      <c r="G45" s="7" t="inlineStr">
        <is>
          <t>paid</t>
        </is>
      </c>
    </row>
    <row r="46">
      <c r="A46" s="7" t="inlineStr">
        <is>
          <t>EX-10436</t>
        </is>
      </c>
      <c r="B46" s="53" t="n">
        <v>46291.58333333334</v>
      </c>
      <c r="C46" s="7" t="inlineStr">
        <is>
          <t>CSV import</t>
        </is>
      </c>
      <c r="D46" s="7" t="inlineStr">
        <is>
          <t>Demo SaaS · Team</t>
        </is>
      </c>
      <c r="E46" s="7" t="inlineStr">
        <is>
          <t>customer930@example.com</t>
        </is>
      </c>
      <c r="F46" s="54" t="n">
        <v>29</v>
      </c>
      <c r="G46" s="7" t="inlineStr">
        <is>
          <t>paid</t>
        </is>
      </c>
    </row>
    <row r="47">
      <c r="A47" s="7" t="inlineStr">
        <is>
          <t>EX-10435</t>
        </is>
      </c>
      <c r="B47" s="53" t="n">
        <v>46291.29166666666</v>
      </c>
      <c r="C47" s="7" t="inlineStr">
        <is>
          <t>Polar</t>
        </is>
      </c>
      <c r="D47" s="7" t="inlineStr">
        <is>
          <t>Sample E-book</t>
        </is>
      </c>
      <c r="E47" s="7" t="inlineStr">
        <is>
          <t>customer922@example.com</t>
        </is>
      </c>
      <c r="F47" s="54" t="n">
        <v>19</v>
      </c>
      <c r="G47" s="7" t="inlineStr">
        <is>
          <t>paid</t>
        </is>
      </c>
    </row>
    <row r="48">
      <c r="A48" s="7" t="inlineStr">
        <is>
          <t>EX-10434</t>
        </is>
      </c>
      <c r="B48" s="53" t="n">
        <v>46291</v>
      </c>
      <c r="C48" s="7" t="inlineStr">
        <is>
          <t>Polar</t>
        </is>
      </c>
      <c r="D48" s="7" t="inlineStr">
        <is>
          <t>Template Kit (example)</t>
        </is>
      </c>
      <c r="E48" s="7" t="inlineStr">
        <is>
          <t>customer464@example.com</t>
        </is>
      </c>
      <c r="F48" s="54" t="n">
        <v>19</v>
      </c>
      <c r="G48" s="7" t="inlineStr">
        <is>
          <t>paid</t>
        </is>
      </c>
    </row>
    <row r="49">
      <c r="A49" s="7" t="inlineStr">
        <is>
          <t>EX-10433</t>
        </is>
      </c>
      <c r="B49" s="53" t="n">
        <v>46290.70833333334</v>
      </c>
      <c r="C49" s="7" t="inlineStr">
        <is>
          <t>Lemon Squeezy</t>
        </is>
      </c>
      <c r="D49" s="7" t="inlineStr">
        <is>
          <t>Template Kit (example)</t>
        </is>
      </c>
      <c r="E49" s="7" t="inlineStr">
        <is>
          <t>customer365@example.com</t>
        </is>
      </c>
      <c r="F49" s="54" t="n">
        <v>9</v>
      </c>
      <c r="G49" s="7" t="inlineStr">
        <is>
          <t>paid</t>
        </is>
      </c>
    </row>
    <row r="50">
      <c r="A50" s="7" t="inlineStr">
        <is>
          <t>EX-10432</t>
        </is>
      </c>
      <c r="B50" s="53" t="n">
        <v>46290.41666666666</v>
      </c>
      <c r="C50" s="7" t="inlineStr">
        <is>
          <t>Polar</t>
        </is>
      </c>
      <c r="D50" s="7" t="inlineStr">
        <is>
          <t>Demo SaaS · Pro</t>
        </is>
      </c>
      <c r="E50" s="7" t="inlineStr">
        <is>
          <t>customer557@example.com</t>
        </is>
      </c>
      <c r="F50" s="54" t="n">
        <v>12</v>
      </c>
      <c r="G50" s="7" t="inlineStr">
        <is>
          <t>refunded</t>
        </is>
      </c>
    </row>
    <row r="51">
      <c r="A51" s="7" t="inlineStr">
        <is>
          <t>EX-10431</t>
        </is>
      </c>
      <c r="B51" s="53" t="n">
        <v>46290.125</v>
      </c>
      <c r="C51" s="7" t="inlineStr">
        <is>
          <t>Gumroad</t>
        </is>
      </c>
      <c r="D51" s="7" t="inlineStr">
        <is>
          <t>Sample Icon Pack</t>
        </is>
      </c>
      <c r="E51" s="7" t="inlineStr">
        <is>
          <t>customer204@example.com</t>
        </is>
      </c>
      <c r="F51" s="54" t="n">
        <v>29</v>
      </c>
      <c r="G51" s="7" t="inlineStr">
        <is>
          <t>paid</t>
        </is>
      </c>
    </row>
    <row r="52">
      <c r="A52" s="7" t="inlineStr">
        <is>
          <t>EX-10430</t>
        </is>
      </c>
      <c r="B52" s="53" t="n">
        <v>46289.83333333334</v>
      </c>
      <c r="C52" s="7" t="inlineStr">
        <is>
          <t>Polar</t>
        </is>
      </c>
      <c r="D52" s="7" t="inlineStr">
        <is>
          <t>Demo SaaS · Pro</t>
        </is>
      </c>
      <c r="E52" s="7" t="inlineStr">
        <is>
          <t>customer309@example.com</t>
        </is>
      </c>
      <c r="F52" s="54" t="n">
        <v>49</v>
      </c>
      <c r="G52" s="7" t="inlineStr">
        <is>
          <t>paid</t>
        </is>
      </c>
    </row>
    <row r="53">
      <c r="A53" s="7" t="inlineStr">
        <is>
          <t>EX-10429</t>
        </is>
      </c>
      <c r="B53" s="53" t="n">
        <v>46289.54166666666</v>
      </c>
      <c r="C53" s="7" t="inlineStr">
        <is>
          <t>Stripe</t>
        </is>
      </c>
      <c r="D53" s="7" t="inlineStr">
        <is>
          <t>Example Course Bundle</t>
        </is>
      </c>
      <c r="E53" s="7" t="inlineStr">
        <is>
          <t>customer590@example.com</t>
        </is>
      </c>
      <c r="F53" s="54" t="n">
        <v>79</v>
      </c>
      <c r="G53" s="7" t="inlineStr">
        <is>
          <t>refunded</t>
        </is>
      </c>
    </row>
    <row r="54">
      <c r="A54" s="7" t="inlineStr">
        <is>
          <t>EX-10428</t>
        </is>
      </c>
      <c r="B54" s="53" t="n">
        <v>46289.25</v>
      </c>
      <c r="C54" s="7" t="inlineStr">
        <is>
          <t>Gumroad</t>
        </is>
      </c>
      <c r="D54" s="7" t="inlineStr">
        <is>
          <t>Sample E-book</t>
        </is>
      </c>
      <c r="E54" s="7" t="inlineStr">
        <is>
          <t>customer222@example.com</t>
        </is>
      </c>
      <c r="F54" s="54" t="n">
        <v>12</v>
      </c>
      <c r="G54" s="7" t="inlineStr">
        <is>
          <t>paid</t>
        </is>
      </c>
    </row>
    <row r="55">
      <c r="A55" s="7" t="inlineStr">
        <is>
          <t>EX-10427</t>
        </is>
      </c>
      <c r="B55" s="53" t="n">
        <v>46288.95833333334</v>
      </c>
      <c r="C55" s="7" t="inlineStr">
        <is>
          <t>Stripe</t>
        </is>
      </c>
      <c r="D55" s="7" t="inlineStr">
        <is>
          <t>Template Kit (example)</t>
        </is>
      </c>
      <c r="E55" s="7" t="inlineStr">
        <is>
          <t>customer282@example.com</t>
        </is>
      </c>
      <c r="F55" s="54" t="n">
        <v>12</v>
      </c>
      <c r="G55" s="7" t="inlineStr">
        <is>
          <t>paid</t>
        </is>
      </c>
    </row>
    <row r="56">
      <c r="A56" s="7" t="inlineStr">
        <is>
          <t>EX-10426</t>
        </is>
      </c>
      <c r="B56" s="53" t="n">
        <v>46288.66666666666</v>
      </c>
      <c r="C56" s="7" t="inlineStr">
        <is>
          <t>Stripe</t>
        </is>
      </c>
      <c r="D56" s="7" t="inlineStr">
        <is>
          <t>Example Course Bundle</t>
        </is>
      </c>
      <c r="E56" s="7" t="inlineStr">
        <is>
          <t>customer920@example.com</t>
        </is>
      </c>
      <c r="F56" s="54" t="n">
        <v>12</v>
      </c>
      <c r="G56" s="7" t="inlineStr">
        <is>
          <t>paid</t>
        </is>
      </c>
    </row>
    <row r="57">
      <c r="A57" s="7" t="inlineStr">
        <is>
          <t>EX-10425</t>
        </is>
      </c>
      <c r="B57" s="53" t="n">
        <v>46288.375</v>
      </c>
      <c r="C57" s="7" t="inlineStr">
        <is>
          <t>Stripe</t>
        </is>
      </c>
      <c r="D57" s="7" t="inlineStr">
        <is>
          <t>Sample E-book</t>
        </is>
      </c>
      <c r="E57" s="7" t="inlineStr">
        <is>
          <t>customer186@example.com</t>
        </is>
      </c>
      <c r="F57" s="54" t="n">
        <v>49</v>
      </c>
      <c r="G57" s="7" t="inlineStr">
        <is>
          <t>paid</t>
        </is>
      </c>
    </row>
    <row r="58">
      <c r="A58" s="7" t="inlineStr">
        <is>
          <t>EX-10424</t>
        </is>
      </c>
      <c r="B58" s="53" t="n">
        <v>46288.08333333334</v>
      </c>
      <c r="C58" s="7" t="inlineStr">
        <is>
          <t>Polar</t>
        </is>
      </c>
      <c r="D58" s="7" t="inlineStr">
        <is>
          <t>Example Course Bundle</t>
        </is>
      </c>
      <c r="E58" s="7" t="inlineStr">
        <is>
          <t>customer254@example.com</t>
        </is>
      </c>
      <c r="F58" s="54" t="n">
        <v>19</v>
      </c>
      <c r="G58" s="7" t="inlineStr">
        <is>
          <t>paid</t>
        </is>
      </c>
    </row>
    <row r="59">
      <c r="A59" s="7" t="inlineStr">
        <is>
          <t>EX-10423</t>
        </is>
      </c>
      <c r="B59" s="53" t="n">
        <v>46287.79166666666</v>
      </c>
      <c r="C59" s="7" t="inlineStr">
        <is>
          <t>CSV import</t>
        </is>
      </c>
      <c r="D59" s="7" t="inlineStr">
        <is>
          <t>Demo SaaS · Team</t>
        </is>
      </c>
      <c r="E59" s="7" t="inlineStr">
        <is>
          <t>customer946@example.com</t>
        </is>
      </c>
      <c r="F59" s="54" t="n">
        <v>49</v>
      </c>
      <c r="G59" s="7" t="inlineStr">
        <is>
          <t>paid</t>
        </is>
      </c>
    </row>
    <row r="60">
      <c r="A60" s="7" t="inlineStr">
        <is>
          <t>EX-10422</t>
        </is>
      </c>
      <c r="B60" s="53" t="n">
        <v>46287.5</v>
      </c>
      <c r="C60" s="7" t="inlineStr">
        <is>
          <t>CSV import</t>
        </is>
      </c>
      <c r="D60" s="7" t="inlineStr">
        <is>
          <t>Sample Icon Pack</t>
        </is>
      </c>
      <c r="E60" s="7" t="inlineStr">
        <is>
          <t>customer661@example.com</t>
        </is>
      </c>
      <c r="F60" s="54" t="n">
        <v>49</v>
      </c>
      <c r="G60" s="7" t="inlineStr">
        <is>
          <t>paid</t>
        </is>
      </c>
    </row>
    <row r="61">
      <c r="A61" s="7" t="inlineStr">
        <is>
          <t>EX-10421</t>
        </is>
      </c>
      <c r="B61" s="53" t="n">
        <v>46287.20833333334</v>
      </c>
      <c r="C61" s="7" t="inlineStr">
        <is>
          <t>CSV import</t>
        </is>
      </c>
      <c r="D61" s="7" t="inlineStr">
        <is>
          <t>Example Course Bundle</t>
        </is>
      </c>
      <c r="E61" s="7" t="inlineStr">
        <is>
          <t>customer918@example.com</t>
        </is>
      </c>
      <c r="F61" s="54" t="n">
        <v>19</v>
      </c>
      <c r="G61" s="7" t="inlineStr">
        <is>
          <t>paid</t>
        </is>
      </c>
    </row>
  </sheetData>
  <conditionalFormatting sqref="G2:G61">
    <cfRule type="expression" priority="1" dxfId="1">
      <formula>OR(G2="refunded",G2="chargeback")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0D0D"/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30" customWidth="1" min="5" max="5"/>
    <col width="13" customWidth="1" min="6" max="6"/>
    <col width="15" customWidth="1" min="7" max="7"/>
  </cols>
  <sheetData>
    <row r="1" ht="21" customHeight="1">
      <c r="A1" s="52" t="inlineStr">
        <is>
          <t>Subscription ID</t>
        </is>
      </c>
      <c r="B1" s="52" t="inlineStr">
        <is>
          <t>Source</t>
        </is>
      </c>
      <c r="C1" s="52" t="inlineStr">
        <is>
          <t>Plan</t>
        </is>
      </c>
      <c r="D1" s="52" t="inlineStr">
        <is>
          <t>Customer email</t>
        </is>
      </c>
      <c r="E1" s="52" t="inlineStr">
        <is>
          <t>Status</t>
        </is>
      </c>
      <c r="F1" s="52" t="inlineStr">
        <is>
          <t>Started</t>
        </is>
      </c>
      <c r="G1" s="52" t="inlineStr">
        <is>
          <t>MRR (USD)</t>
        </is>
      </c>
    </row>
    <row r="2">
      <c r="A2" s="7" t="inlineStr">
        <is>
          <t>EXS-2200</t>
        </is>
      </c>
      <c r="B2" s="7" t="inlineStr">
        <is>
          <t>Lemon Squeezy</t>
        </is>
      </c>
      <c r="C2" s="7" t="inlineStr">
        <is>
          <t>Demo SaaS · Pro</t>
        </is>
      </c>
      <c r="D2" s="7" t="inlineStr">
        <is>
          <t>customer544@example.com</t>
        </is>
      </c>
      <c r="E2" s="7" t="inlineStr">
        <is>
          <t>active</t>
        </is>
      </c>
      <c r="F2" s="55" t="n">
        <v>46113</v>
      </c>
      <c r="G2" s="54" t="n">
        <v>19</v>
      </c>
    </row>
    <row r="3">
      <c r="A3" s="7" t="inlineStr">
        <is>
          <t>EXS-2201</t>
        </is>
      </c>
      <c r="B3" s="7" t="inlineStr">
        <is>
          <t>Polar</t>
        </is>
      </c>
      <c r="C3" s="7" t="inlineStr">
        <is>
          <t>Demo SaaS · Team</t>
        </is>
      </c>
      <c r="D3" s="7" t="inlineStr">
        <is>
          <t>customer613@example.com</t>
        </is>
      </c>
      <c r="E3" s="7" t="inlineStr">
        <is>
          <t>active</t>
        </is>
      </c>
      <c r="F3" s="55" t="n">
        <v>46182</v>
      </c>
      <c r="G3" s="54" t="n">
        <v>29</v>
      </c>
    </row>
    <row r="4">
      <c r="A4" s="7" t="inlineStr">
        <is>
          <t>EXS-2202</t>
        </is>
      </c>
      <c r="B4" s="7" t="inlineStr">
        <is>
          <t>Stripe</t>
        </is>
      </c>
      <c r="C4" s="7" t="inlineStr">
        <is>
          <t>Demo SaaS · Pro</t>
        </is>
      </c>
      <c r="D4" s="7" t="inlineStr">
        <is>
          <t>customer162@example.com</t>
        </is>
      </c>
      <c r="E4" s="7" t="inlineStr">
        <is>
          <t>active</t>
        </is>
      </c>
      <c r="F4" s="55" t="n">
        <v>46256</v>
      </c>
      <c r="G4" s="54" t="n">
        <v>29</v>
      </c>
    </row>
    <row r="5">
      <c r="A5" s="7" t="inlineStr">
        <is>
          <t>EXS-2203</t>
        </is>
      </c>
      <c r="B5" s="7" t="inlineStr">
        <is>
          <t>CSV import</t>
        </is>
      </c>
      <c r="C5" s="7" t="inlineStr">
        <is>
          <t>Demo SaaS · Team</t>
        </is>
      </c>
      <c r="D5" s="7" t="inlineStr">
        <is>
          <t>customer946@example.com</t>
        </is>
      </c>
      <c r="E5" s="7" t="inlineStr">
        <is>
          <t>past_due</t>
        </is>
      </c>
      <c r="F5" s="55" t="n">
        <v>46099</v>
      </c>
      <c r="G5" s="54" t="n">
        <v>9</v>
      </c>
    </row>
    <row r="6">
      <c r="A6" s="7" t="inlineStr">
        <is>
          <t>EXS-2204</t>
        </is>
      </c>
      <c r="B6" s="7" t="inlineStr">
        <is>
          <t>CSV import</t>
        </is>
      </c>
      <c r="C6" s="7" t="inlineStr">
        <is>
          <t>Demo SaaS · Pro</t>
        </is>
      </c>
      <c r="D6" s="7" t="inlineStr">
        <is>
          <t>customer993@example.com</t>
        </is>
      </c>
      <c r="E6" s="7" t="inlineStr">
        <is>
          <t>active</t>
        </is>
      </c>
      <c r="F6" s="55" t="n">
        <v>46101</v>
      </c>
      <c r="G6" s="54" t="n">
        <v>9</v>
      </c>
    </row>
    <row r="7">
      <c r="A7" s="7" t="inlineStr">
        <is>
          <t>EXS-2205</t>
        </is>
      </c>
      <c r="B7" s="7" t="inlineStr">
        <is>
          <t>Polar</t>
        </is>
      </c>
      <c r="C7" s="7" t="inlineStr">
        <is>
          <t>Demo SaaS · Pro</t>
        </is>
      </c>
      <c r="D7" s="7" t="inlineStr">
        <is>
          <t>customer244@example.com</t>
        </is>
      </c>
      <c r="E7" s="7" t="inlineStr">
        <is>
          <t>active</t>
        </is>
      </c>
      <c r="F7" s="55" t="n">
        <v>46071</v>
      </c>
      <c r="G7" s="54" t="n">
        <v>9</v>
      </c>
    </row>
    <row r="8">
      <c r="A8" s="7" t="inlineStr">
        <is>
          <t>EXS-2206</t>
        </is>
      </c>
      <c r="B8" s="7" t="inlineStr">
        <is>
          <t>Gumroad</t>
        </is>
      </c>
      <c r="C8" s="7" t="inlineStr">
        <is>
          <t>Demo SaaS · Team</t>
        </is>
      </c>
      <c r="D8" s="7" t="inlineStr">
        <is>
          <t>customer903@example.com</t>
        </is>
      </c>
      <c r="E8" s="7" t="inlineStr">
        <is>
          <t>active</t>
        </is>
      </c>
      <c r="F8" s="55" t="n">
        <v>46267</v>
      </c>
      <c r="G8" s="54" t="n">
        <v>9</v>
      </c>
    </row>
    <row r="9">
      <c r="A9" s="7" t="inlineStr">
        <is>
          <t>EXS-2207</t>
        </is>
      </c>
      <c r="B9" s="7" t="inlineStr">
        <is>
          <t>Polar</t>
        </is>
      </c>
      <c r="C9" s="7" t="inlineStr">
        <is>
          <t>Demo SaaS · Team</t>
        </is>
      </c>
      <c r="D9" s="7" t="inlineStr">
        <is>
          <t>customer143@example.com</t>
        </is>
      </c>
      <c r="E9" s="7" t="inlineStr">
        <is>
          <t>active</t>
        </is>
      </c>
      <c r="F9" s="55" t="n">
        <v>46280</v>
      </c>
      <c r="G9" s="54" t="n">
        <v>29</v>
      </c>
    </row>
    <row r="10">
      <c r="A10" s="7" t="inlineStr">
        <is>
          <t>EXS-2208</t>
        </is>
      </c>
      <c r="B10" s="7" t="inlineStr">
        <is>
          <t>Lemon Squeezy</t>
        </is>
      </c>
      <c r="C10" s="7" t="inlineStr">
        <is>
          <t>Demo SaaS · Pro</t>
        </is>
      </c>
      <c r="D10" s="7" t="inlineStr">
        <is>
          <t>customer553@example.com</t>
        </is>
      </c>
      <c r="E10" s="7" t="inlineStr">
        <is>
          <t>active</t>
        </is>
      </c>
      <c r="F10" s="55" t="n">
        <v>46285</v>
      </c>
      <c r="G10" s="54" t="n">
        <v>29</v>
      </c>
    </row>
    <row r="11">
      <c r="A11" s="7" t="inlineStr">
        <is>
          <t>EXS-2209</t>
        </is>
      </c>
      <c r="B11" s="7" t="inlineStr">
        <is>
          <t>Polar</t>
        </is>
      </c>
      <c r="C11" s="7" t="inlineStr">
        <is>
          <t>Demo SaaS · Team</t>
        </is>
      </c>
      <c r="D11" s="7" t="inlineStr">
        <is>
          <t>customer563@example.com</t>
        </is>
      </c>
      <c r="E11" s="7" t="inlineStr">
        <is>
          <t>past_due</t>
        </is>
      </c>
      <c r="F11" s="55" t="n">
        <v>46291</v>
      </c>
      <c r="G11" s="54" t="n">
        <v>19</v>
      </c>
    </row>
    <row r="12">
      <c r="A12" s="7" t="inlineStr">
        <is>
          <t>EXS-2210</t>
        </is>
      </c>
      <c r="B12" s="7" t="inlineStr">
        <is>
          <t>CSV import</t>
        </is>
      </c>
      <c r="C12" s="7" t="inlineStr">
        <is>
          <t>Demo SaaS · Pro</t>
        </is>
      </c>
      <c r="D12" s="7" t="inlineStr">
        <is>
          <t>customer815@example.com</t>
        </is>
      </c>
      <c r="E12" s="7" t="inlineStr">
        <is>
          <t>past_due</t>
        </is>
      </c>
      <c r="F12" s="55" t="n">
        <v>46160</v>
      </c>
      <c r="G12" s="54" t="n">
        <v>9</v>
      </c>
    </row>
    <row r="13">
      <c r="A13" s="7" t="inlineStr">
        <is>
          <t>EXS-2211</t>
        </is>
      </c>
      <c r="B13" s="7" t="inlineStr">
        <is>
          <t>Stripe</t>
        </is>
      </c>
      <c r="C13" s="7" t="inlineStr">
        <is>
          <t>Demo SaaS · Pro</t>
        </is>
      </c>
      <c r="D13" s="7" t="inlineStr">
        <is>
          <t>customer526@example.com</t>
        </is>
      </c>
      <c r="E13" s="7" t="inlineStr">
        <is>
          <t>active</t>
        </is>
      </c>
      <c r="F13" s="55" t="n">
        <v>46218</v>
      </c>
      <c r="G13" s="54" t="n">
        <v>19</v>
      </c>
    </row>
    <row r="14">
      <c r="A14" s="7" t="inlineStr">
        <is>
          <t>EXS-2212</t>
        </is>
      </c>
      <c r="B14" s="7" t="inlineStr">
        <is>
          <t>Lemon Squeezy</t>
        </is>
      </c>
      <c r="C14" s="7" t="inlineStr">
        <is>
          <t>Demo SaaS · Pro</t>
        </is>
      </c>
      <c r="D14" s="7" t="inlineStr">
        <is>
          <t>customer538@example.com</t>
        </is>
      </c>
      <c r="E14" s="7" t="inlineStr">
        <is>
          <t>active</t>
        </is>
      </c>
      <c r="F14" s="55" t="n">
        <v>46134</v>
      </c>
      <c r="G14" s="54" t="n">
        <v>19</v>
      </c>
    </row>
    <row r="15">
      <c r="A15" s="7" t="inlineStr">
        <is>
          <t>EXS-2213</t>
        </is>
      </c>
      <c r="B15" s="7" t="inlineStr">
        <is>
          <t>Lemon Squeezy</t>
        </is>
      </c>
      <c r="C15" s="7" t="inlineStr">
        <is>
          <t>Demo SaaS · Pro</t>
        </is>
      </c>
      <c r="D15" s="7" t="inlineStr">
        <is>
          <t>customer833@example.com</t>
        </is>
      </c>
      <c r="E15" s="7" t="inlineStr">
        <is>
          <t>active</t>
        </is>
      </c>
      <c r="F15" s="55" t="n">
        <v>46090</v>
      </c>
      <c r="G15" s="54" t="n">
        <v>9</v>
      </c>
    </row>
    <row r="16">
      <c r="A16" s="7" t="inlineStr">
        <is>
          <t>EXS-2214</t>
        </is>
      </c>
      <c r="B16" s="7" t="inlineStr">
        <is>
          <t>Stripe</t>
        </is>
      </c>
      <c r="C16" s="7" t="inlineStr">
        <is>
          <t>Demo SaaS · Pro</t>
        </is>
      </c>
      <c r="D16" s="7" t="inlineStr">
        <is>
          <t>customer864@example.com</t>
        </is>
      </c>
      <c r="E16" s="7" t="inlineStr">
        <is>
          <t>active</t>
        </is>
      </c>
      <c r="F16" s="55" t="n">
        <v>46219</v>
      </c>
      <c r="G16" s="54" t="n">
        <v>9</v>
      </c>
    </row>
    <row r="17">
      <c r="A17" s="7" t="inlineStr">
        <is>
          <t>EXS-2215</t>
        </is>
      </c>
      <c r="B17" s="7" t="inlineStr">
        <is>
          <t>Polar</t>
        </is>
      </c>
      <c r="C17" s="7" t="inlineStr">
        <is>
          <t>Demo SaaS · Pro</t>
        </is>
      </c>
      <c r="D17" s="7" t="inlineStr">
        <is>
          <t>customer823@example.com</t>
        </is>
      </c>
      <c r="E17" s="7" t="inlineStr">
        <is>
          <t>active</t>
        </is>
      </c>
      <c r="F17" s="55" t="n">
        <v>46278</v>
      </c>
      <c r="G17" s="54" t="n">
        <v>19</v>
      </c>
    </row>
    <row r="18">
      <c r="A18" s="7" t="inlineStr">
        <is>
          <t>EXS-2216</t>
        </is>
      </c>
      <c r="B18" s="7" t="inlineStr">
        <is>
          <t>Stripe</t>
        </is>
      </c>
      <c r="C18" s="7" t="inlineStr">
        <is>
          <t>Demo SaaS · Pro</t>
        </is>
      </c>
      <c r="D18" s="7" t="inlineStr">
        <is>
          <t>customer465@example.com</t>
        </is>
      </c>
      <c r="E18" s="7" t="inlineStr">
        <is>
          <t>active</t>
        </is>
      </c>
      <c r="F18" s="55" t="n">
        <v>46077</v>
      </c>
      <c r="G18" s="54" t="n">
        <v>19</v>
      </c>
    </row>
    <row r="19">
      <c r="A19" s="7" t="inlineStr">
        <is>
          <t>EXS-2217</t>
        </is>
      </c>
      <c r="B19" s="7" t="inlineStr">
        <is>
          <t>Lemon Squeezy</t>
        </is>
      </c>
      <c r="C19" s="7" t="inlineStr">
        <is>
          <t>Demo SaaS · Team</t>
        </is>
      </c>
      <c r="D19" s="7" t="inlineStr">
        <is>
          <t>customer667@example.com</t>
        </is>
      </c>
      <c r="E19" s="7" t="inlineStr">
        <is>
          <t>active</t>
        </is>
      </c>
      <c r="F19" s="55" t="n">
        <v>46257</v>
      </c>
      <c r="G19" s="54" t="n">
        <v>9</v>
      </c>
    </row>
    <row r="20">
      <c r="A20" s="7" t="inlineStr">
        <is>
          <t>EXS-2218</t>
        </is>
      </c>
      <c r="B20" s="7" t="inlineStr">
        <is>
          <t>Stripe</t>
        </is>
      </c>
      <c r="C20" s="7" t="inlineStr">
        <is>
          <t>Demo SaaS · Team</t>
        </is>
      </c>
      <c r="D20" s="7" t="inlineStr">
        <is>
          <t>customer629@example.com</t>
        </is>
      </c>
      <c r="E20" s="7" t="inlineStr">
        <is>
          <t>canceled</t>
        </is>
      </c>
      <c r="F20" s="55" t="n">
        <v>46159</v>
      </c>
      <c r="G20" s="54" t="n">
        <v>9</v>
      </c>
    </row>
    <row r="21">
      <c r="A21" s="7" t="inlineStr">
        <is>
          <t>EXS-2219</t>
        </is>
      </c>
      <c r="B21" s="7" t="inlineStr">
        <is>
          <t>Lemon Squeezy</t>
        </is>
      </c>
      <c r="C21" s="7" t="inlineStr">
        <is>
          <t>Demo SaaS · Pro</t>
        </is>
      </c>
      <c r="D21" s="7" t="inlineStr">
        <is>
          <t>customer997@example.com</t>
        </is>
      </c>
      <c r="E21" s="7" t="inlineStr">
        <is>
          <t>active</t>
        </is>
      </c>
      <c r="F21" s="55" t="n">
        <v>46062</v>
      </c>
      <c r="G21" s="54" t="n">
        <v>19</v>
      </c>
    </row>
    <row r="22">
      <c r="A22" s="7" t="inlineStr">
        <is>
          <t>EXS-2220</t>
        </is>
      </c>
      <c r="B22" s="7" t="inlineStr">
        <is>
          <t>Lemon Squeezy</t>
        </is>
      </c>
      <c r="C22" s="7" t="inlineStr">
        <is>
          <t>Demo SaaS · Pro</t>
        </is>
      </c>
      <c r="D22" s="7" t="inlineStr">
        <is>
          <t>customer376@example.com</t>
        </is>
      </c>
      <c r="E22" s="7" t="inlineStr">
        <is>
          <t>active</t>
        </is>
      </c>
      <c r="F22" s="55" t="n">
        <v>46231</v>
      </c>
      <c r="G22" s="54" t="n">
        <v>29</v>
      </c>
    </row>
    <row r="23">
      <c r="A23" s="7" t="inlineStr">
        <is>
          <t>EXS-2221</t>
        </is>
      </c>
      <c r="B23" s="7" t="inlineStr">
        <is>
          <t>Gumroad</t>
        </is>
      </c>
      <c r="C23" s="7" t="inlineStr">
        <is>
          <t>Demo SaaS · Team</t>
        </is>
      </c>
      <c r="D23" s="7" t="inlineStr">
        <is>
          <t>customer252@example.com</t>
        </is>
      </c>
      <c r="E23" s="7" t="inlineStr">
        <is>
          <t>past_due</t>
        </is>
      </c>
      <c r="F23" s="55" t="n">
        <v>46284</v>
      </c>
      <c r="G23" s="54" t="n">
        <v>19</v>
      </c>
    </row>
    <row r="24">
      <c r="A24" s="7" t="inlineStr">
        <is>
          <t>EXS-2222</t>
        </is>
      </c>
      <c r="B24" s="7" t="inlineStr">
        <is>
          <t>Gumroad</t>
        </is>
      </c>
      <c r="C24" s="7" t="inlineStr">
        <is>
          <t>Demo SaaS · Pro</t>
        </is>
      </c>
      <c r="D24" s="7" t="inlineStr">
        <is>
          <t>customer385@example.com</t>
        </is>
      </c>
      <c r="E24" s="7" t="inlineStr">
        <is>
          <t>active</t>
        </is>
      </c>
      <c r="F24" s="55" t="n">
        <v>46095</v>
      </c>
      <c r="G24" s="54" t="n">
        <v>9</v>
      </c>
    </row>
    <row r="25">
      <c r="A25" s="7" t="inlineStr">
        <is>
          <t>EXS-2223</t>
        </is>
      </c>
      <c r="B25" s="7" t="inlineStr">
        <is>
          <t>Gumroad</t>
        </is>
      </c>
      <c r="C25" s="7" t="inlineStr">
        <is>
          <t>Demo SaaS · Pro</t>
        </is>
      </c>
      <c r="D25" s="7" t="inlineStr">
        <is>
          <t>customer749@example.com</t>
        </is>
      </c>
      <c r="E25" s="7" t="inlineStr">
        <is>
          <t>active</t>
        </is>
      </c>
      <c r="F25" s="55" t="n">
        <v>46145</v>
      </c>
      <c r="G25" s="54" t="n">
        <v>29</v>
      </c>
    </row>
    <row r="26">
      <c r="A26" s="7" t="inlineStr">
        <is>
          <t>EXS-2224</t>
        </is>
      </c>
      <c r="B26" s="7" t="inlineStr">
        <is>
          <t>Polar</t>
        </is>
      </c>
      <c r="C26" s="7" t="inlineStr">
        <is>
          <t>Demo SaaS · Pro</t>
        </is>
      </c>
      <c r="D26" s="7" t="inlineStr">
        <is>
          <t>customer370@example.com</t>
        </is>
      </c>
      <c r="E26" s="7" t="inlineStr">
        <is>
          <t>active</t>
        </is>
      </c>
      <c r="F26" s="55" t="n">
        <v>46235</v>
      </c>
      <c r="G26" s="54" t="n">
        <v>19</v>
      </c>
    </row>
    <row r="27">
      <c r="A27" s="7" t="inlineStr">
        <is>
          <t>EXS-2225</t>
        </is>
      </c>
      <c r="B27" s="7" t="inlineStr">
        <is>
          <t>CSV import</t>
        </is>
      </c>
      <c r="C27" s="7" t="inlineStr">
        <is>
          <t>Demo SaaS · Team</t>
        </is>
      </c>
      <c r="D27" s="7" t="inlineStr">
        <is>
          <t>customer374@example.com</t>
        </is>
      </c>
      <c r="E27" s="7" t="inlineStr">
        <is>
          <t>canceled</t>
        </is>
      </c>
      <c r="F27" s="55" t="n">
        <v>46083</v>
      </c>
      <c r="G27" s="54" t="n">
        <v>29</v>
      </c>
    </row>
    <row r="28">
      <c r="A28" s="7" t="inlineStr">
        <is>
          <t>EXS-2226</t>
        </is>
      </c>
      <c r="B28" s="7" t="inlineStr">
        <is>
          <t>Polar</t>
        </is>
      </c>
      <c r="C28" s="7" t="inlineStr">
        <is>
          <t>Demo SaaS · Pro</t>
        </is>
      </c>
      <c r="D28" s="7" t="inlineStr">
        <is>
          <t>customer265@example.com</t>
        </is>
      </c>
      <c r="E28" s="7" t="inlineStr">
        <is>
          <t>active</t>
        </is>
      </c>
      <c r="F28" s="55" t="n">
        <v>46028</v>
      </c>
      <c r="G28" s="54" t="n">
        <v>9</v>
      </c>
    </row>
    <row r="29">
      <c r="A29" s="7" t="inlineStr">
        <is>
          <t>EXS-2227</t>
        </is>
      </c>
      <c r="B29" s="7" t="inlineStr">
        <is>
          <t>Gumroad</t>
        </is>
      </c>
      <c r="C29" s="7" t="inlineStr">
        <is>
          <t>Demo SaaS · Team</t>
        </is>
      </c>
      <c r="D29" s="7" t="inlineStr">
        <is>
          <t>customer643@example.com</t>
        </is>
      </c>
      <c r="E29" s="7" t="inlineStr">
        <is>
          <t>active</t>
        </is>
      </c>
      <c r="F29" s="55" t="n">
        <v>46157</v>
      </c>
      <c r="G29" s="54" t="n">
        <v>29</v>
      </c>
    </row>
    <row r="30">
      <c r="A30" s="7" t="inlineStr">
        <is>
          <t>EXS-2228</t>
        </is>
      </c>
      <c r="B30" s="7" t="inlineStr">
        <is>
          <t>Polar</t>
        </is>
      </c>
      <c r="C30" s="7" t="inlineStr">
        <is>
          <t>Demo SaaS · Team</t>
        </is>
      </c>
      <c r="D30" s="7" t="inlineStr">
        <is>
          <t>customer455@example.com</t>
        </is>
      </c>
      <c r="E30" s="7" t="inlineStr">
        <is>
          <t>active</t>
        </is>
      </c>
      <c r="F30" s="55" t="n">
        <v>46144</v>
      </c>
      <c r="G30" s="54" t="n">
        <v>9</v>
      </c>
    </row>
    <row r="31">
      <c r="A31" s="7" t="inlineStr">
        <is>
          <t>EXS-2229</t>
        </is>
      </c>
      <c r="B31" s="7" t="inlineStr">
        <is>
          <t>Lemon Squeezy</t>
        </is>
      </c>
      <c r="C31" s="7" t="inlineStr">
        <is>
          <t>Demo SaaS · Pro</t>
        </is>
      </c>
      <c r="D31" s="7" t="inlineStr">
        <is>
          <t>customer626@example.com</t>
        </is>
      </c>
      <c r="E31" s="7" t="inlineStr">
        <is>
          <t>active</t>
        </is>
      </c>
      <c r="F31" s="55" t="n">
        <v>46127</v>
      </c>
      <c r="G31" s="54" t="n">
        <v>9</v>
      </c>
    </row>
  </sheetData>
  <conditionalFormatting sqref="E2:E31">
    <cfRule type="expression" priority="1" dxfId="8">
      <formula>E2="past_due"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0D0D"/>
    <outlinePr summaryBelow="1" summaryRight="1"/>
    <pageSetUpPr/>
  </sheetPr>
  <dimension ref="A1:F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20" customWidth="1" min="3" max="3"/>
    <col width="19" customWidth="1" min="4" max="4"/>
    <col width="30" customWidth="1" min="5" max="5"/>
    <col width="28" customWidth="1" min="6" max="6"/>
  </cols>
  <sheetData>
    <row r="1" ht="21" customHeight="1">
      <c r="A1" s="52" t="inlineStr">
        <is>
          <t>Customer email</t>
        </is>
      </c>
      <c r="B1" s="52" t="inlineStr">
        <is>
          <t>First source</t>
        </is>
      </c>
      <c r="C1" s="52" t="inlineStr">
        <is>
          <t>First purchase</t>
        </is>
      </c>
      <c r="D1" s="52" t="inlineStr">
        <is>
          <t>Last purchase</t>
        </is>
      </c>
      <c r="E1" s="52" t="inlineStr">
        <is>
          <t>Orders</t>
        </is>
      </c>
      <c r="F1" s="52" t="inlineStr">
        <is>
          <t>Lifetime revenue (USD)</t>
        </is>
      </c>
    </row>
    <row r="2">
      <c r="A2" s="7" t="inlineStr">
        <is>
          <t>customer100@example.com</t>
        </is>
      </c>
      <c r="B2" s="7" t="inlineStr">
        <is>
          <t>Stripe</t>
        </is>
      </c>
      <c r="C2" s="55" t="n">
        <v>45977</v>
      </c>
      <c r="D2" s="55" t="n">
        <v>46302</v>
      </c>
      <c r="E2" s="56" t="n">
        <v>9</v>
      </c>
      <c r="F2" s="54" t="n">
        <v>324</v>
      </c>
    </row>
    <row r="3">
      <c r="A3" s="7" t="inlineStr">
        <is>
          <t>customer107@example.com</t>
        </is>
      </c>
      <c r="B3" s="7" t="inlineStr">
        <is>
          <t>Polar</t>
        </is>
      </c>
      <c r="C3" s="55" t="n">
        <v>45758</v>
      </c>
      <c r="D3" s="55" t="n">
        <v>46237</v>
      </c>
      <c r="E3" s="56" t="n">
        <v>7</v>
      </c>
      <c r="F3" s="54" t="n">
        <v>364</v>
      </c>
    </row>
    <row r="4">
      <c r="A4" s="7" t="inlineStr">
        <is>
          <t>customer114@example.com</t>
        </is>
      </c>
      <c r="B4" s="7" t="inlineStr">
        <is>
          <t>Lemon Squeezy</t>
        </is>
      </c>
      <c r="C4" s="55" t="n">
        <v>45717</v>
      </c>
      <c r="D4" s="55" t="n">
        <v>46239</v>
      </c>
      <c r="E4" s="56" t="n">
        <v>7</v>
      </c>
      <c r="F4" s="54" t="n">
        <v>176</v>
      </c>
    </row>
    <row r="5">
      <c r="A5" s="7" t="inlineStr">
        <is>
          <t>customer121@example.com</t>
        </is>
      </c>
      <c r="B5" s="7" t="inlineStr">
        <is>
          <t>Lemon Squeezy</t>
        </is>
      </c>
      <c r="C5" s="55" t="n">
        <v>45710</v>
      </c>
      <c r="D5" s="55" t="n">
        <v>46274</v>
      </c>
      <c r="E5" s="56" t="n">
        <v>5</v>
      </c>
      <c r="F5" s="54" t="n">
        <v>257</v>
      </c>
    </row>
    <row r="6">
      <c r="A6" s="7" t="inlineStr">
        <is>
          <t>customer128@example.com</t>
        </is>
      </c>
      <c r="B6" s="7" t="inlineStr">
        <is>
          <t>Gumroad</t>
        </is>
      </c>
      <c r="C6" s="55" t="n">
        <v>45672</v>
      </c>
      <c r="D6" s="55" t="n">
        <v>46237</v>
      </c>
      <c r="E6" s="56" t="n">
        <v>5</v>
      </c>
      <c r="F6" s="54" t="n">
        <v>465</v>
      </c>
    </row>
    <row r="7">
      <c r="A7" s="7" t="inlineStr">
        <is>
          <t>customer135@example.com</t>
        </is>
      </c>
      <c r="B7" s="7" t="inlineStr">
        <is>
          <t>Lemon Squeezy</t>
        </is>
      </c>
      <c r="C7" s="55" t="n">
        <v>45789</v>
      </c>
      <c r="D7" s="55" t="n">
        <v>46274</v>
      </c>
      <c r="E7" s="56" t="n">
        <v>6</v>
      </c>
      <c r="F7" s="54" t="n">
        <v>259</v>
      </c>
    </row>
    <row r="8">
      <c r="A8" s="7" t="inlineStr">
        <is>
          <t>customer142@example.com</t>
        </is>
      </c>
      <c r="B8" s="7" t="inlineStr">
        <is>
          <t>Lemon Squeezy</t>
        </is>
      </c>
      <c r="C8" s="55" t="n">
        <v>45784</v>
      </c>
      <c r="D8" s="55" t="n">
        <v>46268</v>
      </c>
      <c r="E8" s="56" t="n">
        <v>1</v>
      </c>
      <c r="F8" s="54" t="n">
        <v>352</v>
      </c>
    </row>
    <row r="9">
      <c r="A9" s="7" t="inlineStr">
        <is>
          <t>customer149@example.com</t>
        </is>
      </c>
      <c r="B9" s="7" t="inlineStr">
        <is>
          <t>Stripe</t>
        </is>
      </c>
      <c r="C9" s="55" t="n">
        <v>45704</v>
      </c>
      <c r="D9" s="55" t="n">
        <v>46274</v>
      </c>
      <c r="E9" s="56" t="n">
        <v>4</v>
      </c>
      <c r="F9" s="54" t="n">
        <v>263</v>
      </c>
    </row>
    <row r="10">
      <c r="A10" s="7" t="inlineStr">
        <is>
          <t>customer156@example.com</t>
        </is>
      </c>
      <c r="B10" s="7" t="inlineStr">
        <is>
          <t>CSV import</t>
        </is>
      </c>
      <c r="C10" s="55" t="n">
        <v>45660</v>
      </c>
      <c r="D10" s="55" t="n">
        <v>46267</v>
      </c>
      <c r="E10" s="56" t="n">
        <v>3</v>
      </c>
      <c r="F10" s="54" t="n">
        <v>418</v>
      </c>
    </row>
    <row r="11">
      <c r="A11" s="7" t="inlineStr">
        <is>
          <t>customer163@example.com</t>
        </is>
      </c>
      <c r="B11" s="7" t="inlineStr">
        <is>
          <t>CSV import</t>
        </is>
      </c>
      <c r="C11" s="55" t="n">
        <v>45670</v>
      </c>
      <c r="D11" s="55" t="n">
        <v>46239</v>
      </c>
      <c r="E11" s="56" t="n">
        <v>5</v>
      </c>
      <c r="F11" s="54" t="n">
        <v>247</v>
      </c>
    </row>
    <row r="12">
      <c r="A12" s="7" t="inlineStr">
        <is>
          <t>customer170@example.com</t>
        </is>
      </c>
      <c r="B12" s="7" t="inlineStr">
        <is>
          <t>Lemon Squeezy</t>
        </is>
      </c>
      <c r="C12" s="55" t="n">
        <v>45947</v>
      </c>
      <c r="D12" s="55" t="n">
        <v>46241</v>
      </c>
      <c r="E12" s="56" t="n">
        <v>6</v>
      </c>
      <c r="F12" s="54" t="n">
        <v>515</v>
      </c>
    </row>
    <row r="13">
      <c r="A13" s="7" t="inlineStr">
        <is>
          <t>customer177@example.com</t>
        </is>
      </c>
      <c r="B13" s="7" t="inlineStr">
        <is>
          <t>Polar</t>
        </is>
      </c>
      <c r="C13" s="55" t="n">
        <v>45801</v>
      </c>
      <c r="D13" s="55" t="n">
        <v>46298</v>
      </c>
      <c r="E13" s="56" t="n">
        <v>1</v>
      </c>
      <c r="F13" s="54" t="n">
        <v>534</v>
      </c>
    </row>
    <row r="14">
      <c r="A14" s="7" t="inlineStr">
        <is>
          <t>customer184@example.com</t>
        </is>
      </c>
      <c r="B14" s="7" t="inlineStr">
        <is>
          <t>Stripe</t>
        </is>
      </c>
      <c r="C14" s="55" t="n">
        <v>46014</v>
      </c>
      <c r="D14" s="55" t="n">
        <v>46298</v>
      </c>
      <c r="E14" s="56" t="n">
        <v>9</v>
      </c>
      <c r="F14" s="54" t="n">
        <v>525</v>
      </c>
    </row>
    <row r="15">
      <c r="A15" s="7" t="inlineStr">
        <is>
          <t>customer191@example.com</t>
        </is>
      </c>
      <c r="B15" s="7" t="inlineStr">
        <is>
          <t>CSV import</t>
        </is>
      </c>
      <c r="C15" s="55" t="n">
        <v>45684</v>
      </c>
      <c r="D15" s="55" t="n">
        <v>46299</v>
      </c>
      <c r="E15" s="56" t="n">
        <v>2</v>
      </c>
      <c r="F15" s="54" t="n">
        <v>40</v>
      </c>
    </row>
    <row r="16">
      <c r="A16" s="7" t="inlineStr">
        <is>
          <t>customer198@example.com</t>
        </is>
      </c>
      <c r="B16" s="7" t="inlineStr">
        <is>
          <t>Lemon Squeezy</t>
        </is>
      </c>
      <c r="C16" s="55" t="n">
        <v>45737</v>
      </c>
      <c r="D16" s="55" t="n">
        <v>46267</v>
      </c>
      <c r="E16" s="56" t="n">
        <v>7</v>
      </c>
      <c r="F16" s="54" t="n">
        <v>471</v>
      </c>
    </row>
    <row r="17">
      <c r="A17" s="7" t="inlineStr">
        <is>
          <t>customer205@example.com</t>
        </is>
      </c>
      <c r="B17" s="7" t="inlineStr">
        <is>
          <t>CSV import</t>
        </is>
      </c>
      <c r="C17" s="55" t="n">
        <v>45678</v>
      </c>
      <c r="D17" s="55" t="n">
        <v>46243</v>
      </c>
      <c r="E17" s="56" t="n">
        <v>4</v>
      </c>
      <c r="F17" s="54" t="n">
        <v>510</v>
      </c>
    </row>
    <row r="18">
      <c r="A18" s="7" t="inlineStr">
        <is>
          <t>customer212@example.com</t>
        </is>
      </c>
      <c r="B18" s="7" t="inlineStr">
        <is>
          <t>Gumroad</t>
        </is>
      </c>
      <c r="C18" s="55" t="n">
        <v>45672</v>
      </c>
      <c r="D18" s="55" t="n">
        <v>46243</v>
      </c>
      <c r="E18" s="56" t="n">
        <v>9</v>
      </c>
      <c r="F18" s="54" t="n">
        <v>103</v>
      </c>
    </row>
    <row r="19">
      <c r="A19" s="7" t="inlineStr">
        <is>
          <t>customer219@example.com</t>
        </is>
      </c>
      <c r="B19" s="7" t="inlineStr">
        <is>
          <t>CSV import</t>
        </is>
      </c>
      <c r="C19" s="55" t="n">
        <v>45712</v>
      </c>
      <c r="D19" s="55" t="n">
        <v>46303</v>
      </c>
      <c r="E19" s="56" t="n">
        <v>5</v>
      </c>
      <c r="F19" s="54" t="n">
        <v>85</v>
      </c>
    </row>
    <row r="20">
      <c r="A20" s="7" t="inlineStr">
        <is>
          <t>customer226@example.com</t>
        </is>
      </c>
      <c r="B20" s="7" t="inlineStr">
        <is>
          <t>Gumroad</t>
        </is>
      </c>
      <c r="C20" s="55" t="n">
        <v>45771</v>
      </c>
      <c r="D20" s="55" t="n">
        <v>46238</v>
      </c>
      <c r="E20" s="56" t="n">
        <v>8</v>
      </c>
      <c r="F20" s="54" t="n">
        <v>514</v>
      </c>
    </row>
    <row r="21">
      <c r="A21" s="7" t="inlineStr">
        <is>
          <t>customer233@example.com</t>
        </is>
      </c>
      <c r="B21" s="7" t="inlineStr">
        <is>
          <t>Stripe</t>
        </is>
      </c>
      <c r="C21" s="55" t="n">
        <v>45704</v>
      </c>
      <c r="D21" s="55" t="n">
        <v>46300</v>
      </c>
      <c r="E21" s="56" t="n">
        <v>1</v>
      </c>
      <c r="F21" s="54" t="n">
        <v>212</v>
      </c>
    </row>
    <row r="22">
      <c r="A22" s="7" t="inlineStr">
        <is>
          <t>customer240@example.com</t>
        </is>
      </c>
      <c r="B22" s="7" t="inlineStr">
        <is>
          <t>Lemon Squeezy</t>
        </is>
      </c>
      <c r="C22" s="55" t="n">
        <v>45935</v>
      </c>
      <c r="D22" s="55" t="n">
        <v>46270</v>
      </c>
      <c r="E22" s="56" t="n">
        <v>5</v>
      </c>
      <c r="F22" s="54" t="n">
        <v>590</v>
      </c>
    </row>
    <row r="23">
      <c r="A23" s="7" t="inlineStr">
        <is>
          <t>customer247@example.com</t>
        </is>
      </c>
      <c r="B23" s="7" t="inlineStr">
        <is>
          <t>Polar</t>
        </is>
      </c>
      <c r="C23" s="55" t="n">
        <v>45673</v>
      </c>
      <c r="D23" s="55" t="n">
        <v>46242</v>
      </c>
      <c r="E23" s="56" t="n">
        <v>5</v>
      </c>
      <c r="F23" s="54" t="n">
        <v>110</v>
      </c>
    </row>
    <row r="24">
      <c r="A24" s="7" t="inlineStr">
        <is>
          <t>customer254@example.com</t>
        </is>
      </c>
      <c r="B24" s="7" t="inlineStr">
        <is>
          <t>Polar</t>
        </is>
      </c>
      <c r="C24" s="55" t="n">
        <v>45977</v>
      </c>
      <c r="D24" s="55" t="n">
        <v>46274</v>
      </c>
      <c r="E24" s="56" t="n">
        <v>5</v>
      </c>
      <c r="F24" s="54" t="n">
        <v>484</v>
      </c>
    </row>
    <row r="25">
      <c r="A25" s="7" t="inlineStr">
        <is>
          <t>customer261@example.com</t>
        </is>
      </c>
      <c r="B25" s="7" t="inlineStr">
        <is>
          <t>Stripe</t>
        </is>
      </c>
      <c r="C25" s="55" t="n">
        <v>45894</v>
      </c>
      <c r="D25" s="55" t="n">
        <v>46243</v>
      </c>
      <c r="E25" s="56" t="n">
        <v>4</v>
      </c>
      <c r="F25" s="54" t="n">
        <v>328</v>
      </c>
    </row>
    <row r="26">
      <c r="A26" s="7" t="inlineStr">
        <is>
          <t>customer268@example.com</t>
        </is>
      </c>
      <c r="B26" s="7" t="inlineStr">
        <is>
          <t>Lemon Squeezy</t>
        </is>
      </c>
      <c r="C26" s="55" t="n">
        <v>45870</v>
      </c>
      <c r="D26" s="55" t="n">
        <v>46273</v>
      </c>
      <c r="E26" s="56" t="n">
        <v>2</v>
      </c>
      <c r="F26" s="54" t="n">
        <v>527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42318"/>
    <outlinePr summaryBelow="1" summaryRight="1"/>
    <pageSetUpPr/>
  </sheetPr>
  <dimension ref="A1:F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3" customWidth="1" min="4" max="4"/>
    <col width="30" customWidth="1" min="5" max="5"/>
    <col width="12" customWidth="1" min="6" max="6"/>
  </cols>
  <sheetData>
    <row r="1" ht="21" customHeight="1">
      <c r="A1" s="52" t="inlineStr">
        <is>
          <t>Refund ID</t>
        </is>
      </c>
      <c r="B1" s="52" t="inlineStr">
        <is>
          <t>Order ID</t>
        </is>
      </c>
      <c r="C1" s="52" t="inlineStr">
        <is>
          <t>Source</t>
        </is>
      </c>
      <c r="D1" s="52" t="inlineStr">
        <is>
          <t>Created</t>
        </is>
      </c>
      <c r="E1" s="52" t="inlineStr">
        <is>
          <t>Amount (USD)</t>
        </is>
      </c>
      <c r="F1" s="52" t="inlineStr">
        <is>
          <t>Reason</t>
        </is>
      </c>
    </row>
    <row r="2">
      <c r="A2" s="7" t="inlineStr">
        <is>
          <t>EXR-300</t>
        </is>
      </c>
      <c r="B2" s="7" t="inlineStr">
        <is>
          <t>EX-10480</t>
        </is>
      </c>
      <c r="C2" s="7" t="inlineStr">
        <is>
          <t>Stripe</t>
        </is>
      </c>
      <c r="D2" s="55" t="n">
        <v>46300</v>
      </c>
      <c r="E2" s="54" t="n">
        <v>19</v>
      </c>
      <c r="F2" s="7" t="inlineStr">
        <is>
          <t>Requested by customer</t>
        </is>
      </c>
    </row>
    <row r="3">
      <c r="A3" s="7" t="inlineStr">
        <is>
          <t>EXR-301</t>
        </is>
      </c>
      <c r="B3" s="7" t="inlineStr">
        <is>
          <t>EX-10474</t>
        </is>
      </c>
      <c r="C3" s="7" t="inlineStr">
        <is>
          <t>Polar</t>
        </is>
      </c>
      <c r="D3" s="55" t="n">
        <v>46297</v>
      </c>
      <c r="E3" s="54" t="n">
        <v>29</v>
      </c>
      <c r="F3" s="7" t="inlineStr">
        <is>
          <t>Requested by customer</t>
        </is>
      </c>
    </row>
    <row r="4">
      <c r="A4" s="7" t="inlineStr">
        <is>
          <t>EXR-302</t>
        </is>
      </c>
      <c r="B4" s="7" t="inlineStr">
        <is>
          <t>EX-10468</t>
        </is>
      </c>
      <c r="C4" s="7" t="inlineStr">
        <is>
          <t>Polar</t>
        </is>
      </c>
      <c r="D4" s="55" t="n">
        <v>46304</v>
      </c>
      <c r="E4" s="54" t="n">
        <v>19</v>
      </c>
      <c r="F4" s="7" t="inlineStr">
        <is>
          <t>Duplicate</t>
        </is>
      </c>
    </row>
    <row r="5">
      <c r="A5" s="7" t="inlineStr">
        <is>
          <t>EXR-303</t>
        </is>
      </c>
      <c r="B5" s="7" t="inlineStr">
        <is>
          <t>EX-10462</t>
        </is>
      </c>
      <c r="C5" s="7" t="inlineStr">
        <is>
          <t>Polar</t>
        </is>
      </c>
      <c r="D5" s="55" t="n">
        <v>46304</v>
      </c>
      <c r="E5" s="54" t="n">
        <v>19</v>
      </c>
      <c r="F5" s="7" t="inlineStr">
        <is>
          <t>Requested by customer</t>
        </is>
      </c>
    </row>
    <row r="6">
      <c r="A6" s="7" t="inlineStr">
        <is>
          <t>EXR-304</t>
        </is>
      </c>
      <c r="B6" s="7" t="inlineStr">
        <is>
          <t>EX-10456</t>
        </is>
      </c>
      <c r="C6" s="7" t="inlineStr">
        <is>
          <t>Gumroad</t>
        </is>
      </c>
      <c r="D6" s="55" t="n">
        <v>46299</v>
      </c>
      <c r="E6" s="54" t="n">
        <v>19</v>
      </c>
      <c r="F6" s="7" t="inlineStr">
        <is>
          <t>Duplicate</t>
        </is>
      </c>
    </row>
    <row r="7">
      <c r="A7" s="7" t="inlineStr">
        <is>
          <t>EXR-305</t>
        </is>
      </c>
      <c r="B7" s="7" t="inlineStr">
        <is>
          <t>EX-10450</t>
        </is>
      </c>
      <c r="C7" s="7" t="inlineStr">
        <is>
          <t>Stripe</t>
        </is>
      </c>
      <c r="D7" s="55" t="n">
        <v>46296</v>
      </c>
      <c r="E7" s="54" t="n">
        <v>9</v>
      </c>
      <c r="F7" s="7" t="inlineStr">
        <is>
          <t>Requested by customer</t>
        </is>
      </c>
    </row>
    <row r="8">
      <c r="A8" s="7" t="inlineStr">
        <is>
          <t>EXR-306</t>
        </is>
      </c>
      <c r="B8" s="7" t="inlineStr">
        <is>
          <t>EX-10444</t>
        </is>
      </c>
      <c r="C8" s="7" t="inlineStr">
        <is>
          <t>Stripe</t>
        </is>
      </c>
      <c r="D8" s="55" t="n">
        <v>46303</v>
      </c>
      <c r="E8" s="54" t="n">
        <v>19</v>
      </c>
      <c r="F8" s="7" t="inlineStr">
        <is>
          <t>Duplicate</t>
        </is>
      </c>
    </row>
    <row r="9">
      <c r="A9" s="7" t="inlineStr">
        <is>
          <t>EXR-307</t>
        </is>
      </c>
      <c r="B9" s="7" t="inlineStr">
        <is>
          <t>EX-10438</t>
        </is>
      </c>
      <c r="C9" s="7" t="inlineStr">
        <is>
          <t>Polar</t>
        </is>
      </c>
      <c r="D9" s="55" t="n">
        <v>46302</v>
      </c>
      <c r="E9" s="54" t="n">
        <v>19</v>
      </c>
      <c r="F9" s="7" t="inlineStr">
        <is>
          <t>Duplicate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C8C8C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57" t="inlineStr">
        <is>
          <t>Setting</t>
        </is>
      </c>
      <c r="B1" s="57" t="inlineStr">
        <is>
          <t>Value</t>
        </is>
      </c>
    </row>
    <row r="2">
      <c r="A2" t="inlineStr">
        <is>
          <t>Last sync</t>
        </is>
      </c>
      <c r="B2" s="58" t="n">
        <v>46304.41805555556</v>
      </c>
    </row>
    <row r="3">
      <c r="A3" t="inlineStr">
        <is>
          <t>Schedule</t>
        </is>
      </c>
      <c r="B3" t="inlineStr">
        <is>
          <t>Hourly</t>
        </is>
      </c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Sources</t>
        </is>
      </c>
      <c r="B5" t="inlineStr">
        <is>
          <t>Stripe, Lemon Squeezy, Polar, Gumroad, CSV import</t>
        </is>
      </c>
    </row>
    <row r="6">
      <c r="A6" t="inlineStr">
        <is>
          <t>Data</t>
        </is>
      </c>
      <c r="B6" t="inlineStr">
        <is>
          <t>Example data, not real customers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C8C8C"/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Lemon Squeezy</t>
        </is>
      </c>
      <c r="C1" t="inlineStr">
        <is>
          <t>Polar</t>
        </is>
      </c>
      <c r="D1" t="inlineStr">
        <is>
          <t>Gumroad</t>
        </is>
      </c>
      <c r="E1" t="inlineStr">
        <is>
          <t>Total MRR</t>
        </is>
      </c>
      <c r="F1" t="inlineStr">
        <is>
          <t>Churn</t>
        </is>
      </c>
    </row>
    <row r="2">
      <c r="A2" s="59" t="n">
        <v>45962</v>
      </c>
      <c r="B2" s="60" t="n">
        <v>901</v>
      </c>
      <c r="C2" s="60" t="n">
        <v>272</v>
      </c>
      <c r="D2" s="60" t="n">
        <v>495</v>
      </c>
      <c r="E2" s="60">
        <f>SUM(B2:D2)</f>
        <v/>
      </c>
      <c r="F2" s="61" t="n">
        <v>0.034</v>
      </c>
    </row>
    <row r="3">
      <c r="A3" s="59" t="n">
        <v>45992</v>
      </c>
      <c r="B3" s="60" t="n">
        <v>974</v>
      </c>
      <c r="C3" s="60" t="n">
        <v>405</v>
      </c>
      <c r="D3" s="60" t="n">
        <v>548</v>
      </c>
      <c r="E3" s="60">
        <f>SUM(B3:D3)</f>
        <v/>
      </c>
      <c r="F3" s="61" t="n">
        <v>0.031</v>
      </c>
    </row>
    <row r="4">
      <c r="A4" s="59" t="n">
        <v>46023</v>
      </c>
      <c r="B4" s="60" t="n">
        <v>1100</v>
      </c>
      <c r="C4" s="60" t="n">
        <v>557</v>
      </c>
      <c r="D4" s="60" t="n">
        <v>640</v>
      </c>
      <c r="E4" s="60">
        <f>SUM(B4:D4)</f>
        <v/>
      </c>
      <c r="F4" s="61" t="n">
        <v>0.036</v>
      </c>
    </row>
    <row r="5">
      <c r="A5" s="59" t="n">
        <v>46054</v>
      </c>
      <c r="B5" s="60" t="n">
        <v>1151</v>
      </c>
      <c r="C5" s="60" t="n">
        <v>686</v>
      </c>
      <c r="D5" s="60" t="n">
        <v>680</v>
      </c>
      <c r="E5" s="60">
        <f>SUM(B5:D5)</f>
        <v/>
      </c>
      <c r="F5" s="61" t="n">
        <v>0.028</v>
      </c>
    </row>
    <row r="6">
      <c r="A6" s="59" t="n">
        <v>46082</v>
      </c>
      <c r="B6" s="60" t="n">
        <v>1249</v>
      </c>
      <c r="C6" s="60" t="n">
        <v>794</v>
      </c>
      <c r="D6" s="60" t="n">
        <v>714</v>
      </c>
      <c r="E6" s="60">
        <f>SUM(B6:D6)</f>
        <v/>
      </c>
      <c r="F6" s="61" t="n">
        <v>0.026</v>
      </c>
    </row>
    <row r="7">
      <c r="A7" s="59" t="n">
        <v>46113</v>
      </c>
      <c r="B7" s="60" t="n">
        <v>1403</v>
      </c>
      <c r="C7" s="60" t="n">
        <v>935</v>
      </c>
      <c r="D7" s="60" t="n">
        <v>687</v>
      </c>
      <c r="E7" s="60">
        <f>SUM(B7:D7)</f>
        <v/>
      </c>
      <c r="F7" s="61" t="n">
        <v>0.03</v>
      </c>
    </row>
    <row r="8">
      <c r="A8" s="59" t="n">
        <v>46143</v>
      </c>
      <c r="B8" s="60" t="n">
        <v>1442</v>
      </c>
      <c r="C8" s="60" t="n">
        <v>1055</v>
      </c>
      <c r="D8" s="60" t="n">
        <v>793</v>
      </c>
      <c r="E8" s="60">
        <f>SUM(B8:D8)</f>
        <v/>
      </c>
      <c r="F8" s="61" t="n">
        <v>0.027</v>
      </c>
    </row>
    <row r="9">
      <c r="A9" s="59" t="n">
        <v>46174</v>
      </c>
      <c r="B9" s="60" t="n">
        <v>1571</v>
      </c>
      <c r="C9" s="60" t="n">
        <v>1215</v>
      </c>
      <c r="D9" s="60" t="n">
        <v>834</v>
      </c>
      <c r="E9" s="60">
        <f>SUM(B9:D9)</f>
        <v/>
      </c>
      <c r="F9" s="61" t="n">
        <v>0.025</v>
      </c>
    </row>
    <row r="10">
      <c r="A10" s="59" t="n">
        <v>46204</v>
      </c>
      <c r="B10" s="60" t="n">
        <v>1694</v>
      </c>
      <c r="C10" s="60" t="n">
        <v>1337</v>
      </c>
      <c r="D10" s="60" t="n">
        <v>850</v>
      </c>
      <c r="E10" s="60">
        <f>SUM(B10:D10)</f>
        <v/>
      </c>
      <c r="F10" s="61" t="n">
        <v>0.029</v>
      </c>
    </row>
    <row r="11">
      <c r="A11" s="59" t="n">
        <v>46235</v>
      </c>
      <c r="B11" s="60" t="n">
        <v>1722</v>
      </c>
      <c r="C11" s="60" t="n">
        <v>1443</v>
      </c>
      <c r="D11" s="60" t="n">
        <v>846</v>
      </c>
      <c r="E11" s="60">
        <f>SUM(B11:D11)</f>
        <v/>
      </c>
      <c r="F11" s="61" t="n">
        <v>0.026</v>
      </c>
    </row>
    <row r="12">
      <c r="A12" s="59" t="n">
        <v>46266</v>
      </c>
      <c r="B12" s="60" t="n">
        <v>1874</v>
      </c>
      <c r="C12" s="60" t="n">
        <v>1622</v>
      </c>
      <c r="D12" s="60" t="n">
        <v>908</v>
      </c>
      <c r="E12" s="60">
        <f>SUM(B12:D12)</f>
        <v/>
      </c>
      <c r="F12" s="61" t="n">
        <v>0.029</v>
      </c>
    </row>
    <row r="13">
      <c r="A13" s="59" t="n">
        <v>46296</v>
      </c>
      <c r="B13" s="60" t="n">
        <v>1932</v>
      </c>
      <c r="C13" s="60" t="n">
        <v>1736</v>
      </c>
      <c r="D13" s="60" t="n">
        <v>925</v>
      </c>
      <c r="E13" s="60">
        <f>SUM(B13:D13)</f>
        <v/>
      </c>
      <c r="F13" s="61" t="n">
        <v>0.026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2026-10-10T10:03:54Z</dcterms:created>
  <dcterms:modified xmlns:dcterms="http://purl.org/dc/terms/" xmlns:xsi="http://www.w3.org/2001/XMLSchema-instance" xsi:type="dcterms:W3CDTF">2026-10-10T10:03:54Z</dcterms:modified>
</cp:coreProperties>
</file>